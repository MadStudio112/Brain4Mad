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comments6.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comments7.xml" ContentType="application/vnd.openxmlformats-officedocument.spreadsheetml.comments+xml"/>
  <Override PartName="/xl/charts/chart3.xml" ContentType="application/vnd.openxmlformats-officedocument.drawingml.chart+xml"/>
  <Override PartName="/xl/drawings/drawing8.xml" ContentType="application/vnd.openxmlformats-officedocument.drawing+xml"/>
  <Override PartName="/xl/comments8.xml" ContentType="application/vnd.openxmlformats-officedocument.spreadsheetml.comments+xml"/>
  <Override PartName="/xl/charts/chart4.xml" ContentType="application/vnd.openxmlformats-officedocument.drawingml.chart+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DieseArbeitsmappe" defaultThemeVersion="124226"/>
  <mc:AlternateContent xmlns:mc="http://schemas.openxmlformats.org/markup-compatibility/2006">
    <mc:Choice Requires="x15">
      <x15ac:absPath xmlns:x15ac="http://schemas.microsoft.com/office/spreadsheetml/2010/11/ac" url="C:\Users\mad\OneDrive\3_BAU\Vorlagen\Einreichung\"/>
    </mc:Choice>
  </mc:AlternateContent>
  <xr:revisionPtr revIDLastSave="7" documentId="13_ncr:1_{6FE25FC1-9754-4D46-AB49-04A03FD6F263}" xr6:coauthVersionLast="34" xr6:coauthVersionMax="34" xr10:uidLastSave="{8E0F4588-5F65-4C4C-B48C-363FC4A1212F}"/>
  <bookViews>
    <workbookView xWindow="0" yWindow="0" windowWidth="19200" windowHeight="8610" tabRatio="872" xr2:uid="{00000000-000D-0000-FFFF-FFFF00000000}"/>
  </bookViews>
  <sheets>
    <sheet name="SIR" sheetId="19" r:id="rId1"/>
    <sheet name="Bemessungsregendaten, kfu" sheetId="9" r:id="rId2"/>
    <sheet name="SIR-AQF" sheetId="23" r:id="rId3"/>
    <sheet name="ASI" sheetId="21" r:id="rId4"/>
    <sheet name="Einführung" sheetId="1" r:id="rId5"/>
    <sheet name="Begriffe" sheetId="11" r:id="rId6"/>
    <sheet name="Sickermulden-becken" sheetId="2" r:id="rId7"/>
    <sheet name="Sickerschacht_SIR" sheetId="15" r:id="rId8"/>
    <sheet name="Sickerschacht_SIR-AQF" sheetId="22" r:id="rId9"/>
    <sheet name="Sickerschacht_ASI" sheetId="20" r:id="rId10"/>
    <sheet name="unterirdischer Sickerkörper" sheetId="14" r:id="rId11"/>
    <sheet name="Regenrückhaltebecken" sheetId="16" r:id="rId12"/>
    <sheet name="Berechnung Tagesfrachten" sheetId="17" r:id="rId13"/>
  </sheets>
  <definedNames>
    <definedName name="Bodentyp" localSheetId="3">Einführung!#REF!</definedName>
    <definedName name="Bodentyp" localSheetId="11">Einführung!#REF!</definedName>
    <definedName name="Bodentyp" localSheetId="9">Einführung!#REF!</definedName>
    <definedName name="Bodentyp" localSheetId="7">Einführung!#REF!</definedName>
    <definedName name="Bodentyp" localSheetId="8">Einführung!#REF!</definedName>
    <definedName name="Bodentyp" localSheetId="2">Einführung!#REF!</definedName>
    <definedName name="Bodentyp" localSheetId="10">Einführung!#REF!</definedName>
    <definedName name="Bodentyp">Einführung!#REF!</definedName>
    <definedName name="_xlnm.Print_Area" localSheetId="4">Einführung!$A$1:$H$81</definedName>
    <definedName name="_xlnm.Print_Area" localSheetId="11">Regenrückhaltebecken!$A$3:$H$55</definedName>
    <definedName name="_xlnm.Print_Area" localSheetId="6">'Sickermulden-becken'!$A$3:$H$68,'Sickermulden-becken'!$A$70:$H$81</definedName>
    <definedName name="_xlnm.Print_Area" localSheetId="9">Sickerschacht_ASI!$A$4:$H$93</definedName>
    <definedName name="_xlnm.Print_Area" localSheetId="7">Sickerschacht_SIR!$A$4:$H$93</definedName>
    <definedName name="_xlnm.Print_Area" localSheetId="8">'Sickerschacht_SIR-AQF'!$A$4:$H$93</definedName>
    <definedName name="_xlnm.Print_Area" localSheetId="10">'unterirdischer Sickerkörper'!$A$3:$H$65</definedName>
  </definedNames>
  <calcPr calcId="179017"/>
</workbook>
</file>

<file path=xl/calcChain.xml><?xml version="1.0" encoding="utf-8"?>
<calcChain xmlns="http://schemas.openxmlformats.org/spreadsheetml/2006/main">
  <c r="G20" i="22" l="1"/>
  <c r="G21" i="22"/>
  <c r="G22" i="22"/>
  <c r="G23" i="22"/>
  <c r="C33" i="22"/>
  <c r="E16" i="22"/>
  <c r="D16" i="22"/>
  <c r="E15" i="22"/>
  <c r="D15" i="22"/>
  <c r="E14" i="22"/>
  <c r="D14" i="22"/>
  <c r="E13" i="22"/>
  <c r="D13" i="22"/>
  <c r="E12" i="22"/>
  <c r="D12" i="22"/>
  <c r="B13" i="22"/>
  <c r="B14" i="22"/>
  <c r="B15" i="22"/>
  <c r="B16" i="22"/>
  <c r="B12" i="22"/>
  <c r="J68" i="23"/>
  <c r="H68" i="23"/>
  <c r="B68" i="23"/>
  <c r="O64" i="23"/>
  <c r="O63" i="23"/>
  <c r="J56" i="23"/>
  <c r="G27" i="22"/>
  <c r="J55" i="23"/>
  <c r="G26" i="22"/>
  <c r="G64" i="22"/>
  <c r="G71" i="22"/>
  <c r="J54" i="23"/>
  <c r="G25" i="22"/>
  <c r="J48" i="23"/>
  <c r="G19" i="22"/>
  <c r="H39" i="23"/>
  <c r="H38" i="23"/>
  <c r="H37" i="23"/>
  <c r="J57" i="23"/>
  <c r="G28" i="22"/>
  <c r="H36" i="23"/>
  <c r="H35" i="23"/>
  <c r="J53" i="23"/>
  <c r="J26" i="23"/>
  <c r="I24" i="23"/>
  <c r="I19" i="23"/>
  <c r="G16" i="22"/>
  <c r="I18" i="23"/>
  <c r="G15" i="22"/>
  <c r="I17" i="23"/>
  <c r="G14" i="22"/>
  <c r="I16" i="23"/>
  <c r="G13" i="22"/>
  <c r="I15" i="23"/>
  <c r="G12" i="22"/>
  <c r="E66" i="22"/>
  <c r="C55" i="22"/>
  <c r="U55" i="22" s="1"/>
  <c r="G55" i="22" s="1"/>
  <c r="C54" i="22"/>
  <c r="C51" i="22"/>
  <c r="U51" i="22" s="1"/>
  <c r="G51" i="22" s="1"/>
  <c r="C50" i="22"/>
  <c r="T50" i="22" s="1"/>
  <c r="E50" i="22" s="1"/>
  <c r="C47" i="22"/>
  <c r="C46" i="22"/>
  <c r="C43" i="22"/>
  <c r="U43" i="22" s="1"/>
  <c r="G43" i="22" s="1"/>
  <c r="C42" i="22"/>
  <c r="U42" i="22" s="1"/>
  <c r="G42" i="22" s="1"/>
  <c r="C39" i="22"/>
  <c r="T39" i="22" s="1"/>
  <c r="E39" i="22" s="1"/>
  <c r="C38" i="22"/>
  <c r="C53" i="22"/>
  <c r="T53" i="22" s="1"/>
  <c r="E53" i="22" s="1"/>
  <c r="E17" i="22"/>
  <c r="C7" i="22"/>
  <c r="C6" i="22"/>
  <c r="C5" i="22"/>
  <c r="H4" i="22"/>
  <c r="J48" i="21"/>
  <c r="J43" i="19"/>
  <c r="D12" i="15"/>
  <c r="H65" i="23"/>
  <c r="E62" i="22"/>
  <c r="H64" i="23"/>
  <c r="J64" i="23"/>
  <c r="I63" i="23"/>
  <c r="I20" i="23"/>
  <c r="H40" i="23"/>
  <c r="C36" i="22"/>
  <c r="U36" i="22" s="1"/>
  <c r="G36" i="22" s="1"/>
  <c r="C40" i="22"/>
  <c r="T40" i="22" s="1"/>
  <c r="E40" i="22" s="1"/>
  <c r="C44" i="22"/>
  <c r="U44" i="22" s="1"/>
  <c r="G44" i="22" s="1"/>
  <c r="C48" i="22"/>
  <c r="C52" i="22"/>
  <c r="T52" i="22" s="1"/>
  <c r="E52" i="22" s="1"/>
  <c r="C56" i="22"/>
  <c r="T56" i="22" s="1"/>
  <c r="E56" i="22" s="1"/>
  <c r="C37" i="22"/>
  <c r="U37" i="22" s="1"/>
  <c r="C41" i="22"/>
  <c r="C45" i="22"/>
  <c r="T45" i="22" s="1"/>
  <c r="E45" i="22" s="1"/>
  <c r="C49" i="22"/>
  <c r="T49" i="22" s="1"/>
  <c r="E49" i="22" s="1"/>
  <c r="C33" i="20"/>
  <c r="G23" i="20"/>
  <c r="G22" i="20"/>
  <c r="G21" i="20"/>
  <c r="G20" i="20"/>
  <c r="E16" i="20"/>
  <c r="D16" i="20"/>
  <c r="B16" i="20"/>
  <c r="E15" i="20"/>
  <c r="D15" i="20"/>
  <c r="B15" i="20"/>
  <c r="E14" i="20"/>
  <c r="E17" i="20"/>
  <c r="D14" i="20"/>
  <c r="B14" i="20"/>
  <c r="E13" i="20"/>
  <c r="D13" i="20"/>
  <c r="E12" i="20"/>
  <c r="D12" i="20"/>
  <c r="B13" i="20"/>
  <c r="B12" i="20"/>
  <c r="I111" i="21"/>
  <c r="I110" i="21"/>
  <c r="I109" i="21"/>
  <c r="I108" i="21"/>
  <c r="I107" i="21"/>
  <c r="I106" i="21"/>
  <c r="I105" i="21"/>
  <c r="I104" i="21"/>
  <c r="I103" i="21"/>
  <c r="I102" i="21"/>
  <c r="I101" i="21"/>
  <c r="I100" i="21"/>
  <c r="I99" i="21"/>
  <c r="I98" i="21"/>
  <c r="I97" i="21"/>
  <c r="I96" i="21"/>
  <c r="I95" i="21"/>
  <c r="I94" i="21"/>
  <c r="I93" i="21"/>
  <c r="I92" i="21"/>
  <c r="I91" i="21"/>
  <c r="I90" i="21"/>
  <c r="I89" i="21"/>
  <c r="I88" i="21"/>
  <c r="I87" i="21"/>
  <c r="I86" i="21"/>
  <c r="I85" i="21"/>
  <c r="I84" i="21"/>
  <c r="I83" i="21"/>
  <c r="I82" i="21"/>
  <c r="I81" i="21"/>
  <c r="I80" i="21"/>
  <c r="I79" i="21"/>
  <c r="I78" i="21"/>
  <c r="I77" i="21"/>
  <c r="H39" i="21"/>
  <c r="J68" i="21"/>
  <c r="H68" i="21"/>
  <c r="B68" i="21"/>
  <c r="O64" i="21"/>
  <c r="O63" i="21"/>
  <c r="J56" i="21"/>
  <c r="G27" i="20"/>
  <c r="J55" i="21"/>
  <c r="J54" i="21"/>
  <c r="G19" i="20"/>
  <c r="H38" i="21"/>
  <c r="H64" i="21"/>
  <c r="H37" i="21"/>
  <c r="J57" i="21"/>
  <c r="H36" i="21"/>
  <c r="H35" i="21"/>
  <c r="J53" i="21"/>
  <c r="G24" i="20"/>
  <c r="J26" i="21"/>
  <c r="I24" i="21"/>
  <c r="I19" i="21"/>
  <c r="G16" i="20"/>
  <c r="I18" i="21"/>
  <c r="G15" i="20"/>
  <c r="I17" i="21"/>
  <c r="G14" i="20"/>
  <c r="I16" i="21"/>
  <c r="I15" i="21"/>
  <c r="G12" i="20"/>
  <c r="C7" i="20"/>
  <c r="C6" i="20"/>
  <c r="C5" i="20"/>
  <c r="H4" i="20"/>
  <c r="I63" i="21"/>
  <c r="L53" i="21"/>
  <c r="J58" i="21"/>
  <c r="G29" i="20"/>
  <c r="G25" i="20"/>
  <c r="G28" i="20"/>
  <c r="C51" i="20"/>
  <c r="C56" i="20"/>
  <c r="C49" i="20"/>
  <c r="U49" i="20" s="1"/>
  <c r="G49" i="20" s="1"/>
  <c r="C46" i="20"/>
  <c r="U46" i="20" s="1"/>
  <c r="G46" i="20" s="1"/>
  <c r="I72" i="19"/>
  <c r="I73" i="19"/>
  <c r="I74" i="19"/>
  <c r="I75" i="19"/>
  <c r="I76" i="19"/>
  <c r="I77" i="19"/>
  <c r="I78" i="19"/>
  <c r="I79" i="19"/>
  <c r="I80" i="19"/>
  <c r="I81" i="19"/>
  <c r="I82" i="19"/>
  <c r="I83" i="19"/>
  <c r="I84" i="19"/>
  <c r="I85" i="19"/>
  <c r="I86" i="19"/>
  <c r="I87" i="19"/>
  <c r="I88" i="19"/>
  <c r="I89" i="19"/>
  <c r="I90" i="19"/>
  <c r="I91" i="19"/>
  <c r="I92" i="19"/>
  <c r="I93" i="19"/>
  <c r="I94" i="19"/>
  <c r="I95" i="19"/>
  <c r="I96" i="19"/>
  <c r="I97" i="19"/>
  <c r="H34" i="19"/>
  <c r="E62" i="15"/>
  <c r="I98" i="19"/>
  <c r="I99" i="19"/>
  <c r="I100" i="19"/>
  <c r="I101" i="19"/>
  <c r="I102" i="19"/>
  <c r="I103" i="19"/>
  <c r="I104" i="19"/>
  <c r="I105" i="19"/>
  <c r="I106" i="19"/>
  <c r="I107" i="19"/>
  <c r="I108" i="19"/>
  <c r="I109" i="19"/>
  <c r="I71" i="19"/>
  <c r="E13" i="15"/>
  <c r="E14" i="15"/>
  <c r="E15" i="15"/>
  <c r="E17" i="15" s="1"/>
  <c r="E16" i="15"/>
  <c r="E12" i="15"/>
  <c r="G23" i="15"/>
  <c r="G22" i="15"/>
  <c r="G21" i="15"/>
  <c r="G19" i="15"/>
  <c r="G20" i="15"/>
  <c r="O59" i="19"/>
  <c r="O57" i="19"/>
  <c r="C33" i="15"/>
  <c r="C39" i="15" s="1"/>
  <c r="C49" i="15"/>
  <c r="J50" i="19"/>
  <c r="G27" i="15" s="1"/>
  <c r="B13" i="15"/>
  <c r="B14" i="15"/>
  <c r="B15" i="15"/>
  <c r="B16" i="15"/>
  <c r="B12" i="15"/>
  <c r="D13" i="15"/>
  <c r="D14" i="15"/>
  <c r="D15" i="15"/>
  <c r="D16" i="15"/>
  <c r="H32" i="19"/>
  <c r="G28" i="15"/>
  <c r="H31" i="19"/>
  <c r="H33" i="19"/>
  <c r="H58" i="19"/>
  <c r="J48" i="19"/>
  <c r="G25" i="15" s="1"/>
  <c r="J49" i="19"/>
  <c r="H30" i="19"/>
  <c r="J47" i="19" s="1"/>
  <c r="L47" i="19" s="1"/>
  <c r="J52" i="19" s="1"/>
  <c r="G29" i="15" s="1"/>
  <c r="J62" i="19"/>
  <c r="H62" i="19"/>
  <c r="B62" i="19"/>
  <c r="I19" i="19"/>
  <c r="I14" i="19"/>
  <c r="G16" i="15"/>
  <c r="I13" i="19"/>
  <c r="G15" i="15" s="1"/>
  <c r="I12" i="19"/>
  <c r="G14" i="15"/>
  <c r="I11" i="19"/>
  <c r="G13" i="15" s="1"/>
  <c r="I10" i="19"/>
  <c r="G12" i="15" s="1"/>
  <c r="D22" i="17"/>
  <c r="D23" i="17"/>
  <c r="D24" i="17"/>
  <c r="G36" i="2"/>
  <c r="V36" i="2" s="1"/>
  <c r="W36" i="2" s="1"/>
  <c r="H36" i="2" s="1"/>
  <c r="G60" i="2"/>
  <c r="G37" i="2"/>
  <c r="G38" i="2"/>
  <c r="G39" i="2"/>
  <c r="V39" i="2" s="1"/>
  <c r="W39" i="2" s="1"/>
  <c r="H39" i="2" s="1"/>
  <c r="G40" i="2"/>
  <c r="V40" i="2" s="1"/>
  <c r="W40" i="2" s="1"/>
  <c r="H40" i="2" s="1"/>
  <c r="G41" i="2"/>
  <c r="G42" i="2"/>
  <c r="G43" i="2"/>
  <c r="G44" i="2"/>
  <c r="V44" i="2" s="1"/>
  <c r="G45" i="2"/>
  <c r="V45" i="2" s="1"/>
  <c r="G46" i="2"/>
  <c r="G47" i="2"/>
  <c r="W47" i="2" s="1"/>
  <c r="H47" i="2" s="1"/>
  <c r="G48" i="2"/>
  <c r="V48" i="2" s="1"/>
  <c r="G49" i="2"/>
  <c r="V49" i="2" s="1"/>
  <c r="G50" i="2"/>
  <c r="G51" i="2"/>
  <c r="V51" i="2" s="1"/>
  <c r="W51" i="2" s="1"/>
  <c r="H51" i="2" s="1"/>
  <c r="G52" i="2"/>
  <c r="V52" i="2" s="1"/>
  <c r="G53" i="2"/>
  <c r="G54" i="2"/>
  <c r="G55" i="2"/>
  <c r="G56" i="2"/>
  <c r="E36" i="2"/>
  <c r="U36" i="2" s="1"/>
  <c r="F36" i="2" s="1"/>
  <c r="E60" i="2"/>
  <c r="E37" i="2"/>
  <c r="E38" i="2"/>
  <c r="U38" i="2" s="1"/>
  <c r="F38" i="2" s="1"/>
  <c r="E39" i="2"/>
  <c r="U39" i="2" s="1"/>
  <c r="F39" i="2" s="1"/>
  <c r="E40" i="2"/>
  <c r="E41" i="2"/>
  <c r="U41" i="2" s="1"/>
  <c r="F41" i="2" s="1"/>
  <c r="E42" i="2"/>
  <c r="U42" i="2" s="1"/>
  <c r="F42" i="2" s="1"/>
  <c r="E43" i="2"/>
  <c r="U43" i="2" s="1"/>
  <c r="F43" i="2" s="1"/>
  <c r="E44" i="2"/>
  <c r="E45" i="2"/>
  <c r="E46" i="2"/>
  <c r="E47" i="2"/>
  <c r="U47" i="2" s="1"/>
  <c r="E48" i="2"/>
  <c r="E49" i="2"/>
  <c r="U49" i="2" s="1"/>
  <c r="F49" i="2" s="1"/>
  <c r="E50" i="2"/>
  <c r="U50" i="2" s="1"/>
  <c r="F50" i="2" s="1"/>
  <c r="E51" i="2"/>
  <c r="U51" i="2" s="1"/>
  <c r="F51" i="2" s="1"/>
  <c r="E52" i="2"/>
  <c r="E53" i="2"/>
  <c r="E54" i="2"/>
  <c r="U54" i="2" s="1"/>
  <c r="F54" i="2" s="1"/>
  <c r="E55" i="2"/>
  <c r="U55" i="2" s="1"/>
  <c r="F55" i="2" s="1"/>
  <c r="E56" i="2"/>
  <c r="C36" i="2"/>
  <c r="S36" i="2" s="1"/>
  <c r="D36" i="2" s="1"/>
  <c r="C60" i="2"/>
  <c r="C37" i="2"/>
  <c r="S37" i="2" s="1"/>
  <c r="D37" i="2" s="1"/>
  <c r="C38" i="2"/>
  <c r="C39" i="2"/>
  <c r="S39" i="2" s="1"/>
  <c r="D39" i="2" s="1"/>
  <c r="C40" i="2"/>
  <c r="S40" i="2" s="1"/>
  <c r="D40" i="2" s="1"/>
  <c r="C41" i="2"/>
  <c r="S41" i="2" s="1"/>
  <c r="C42" i="2"/>
  <c r="C43" i="2"/>
  <c r="C44" i="2"/>
  <c r="S44" i="2" s="1"/>
  <c r="D44" i="2" s="1"/>
  <c r="C45" i="2"/>
  <c r="S45" i="2" s="1"/>
  <c r="D45" i="2" s="1"/>
  <c r="C46" i="2"/>
  <c r="C47" i="2"/>
  <c r="C48" i="2"/>
  <c r="S48" i="2" s="1"/>
  <c r="D48" i="2" s="1"/>
  <c r="C49" i="2"/>
  <c r="S49" i="2" s="1"/>
  <c r="C50" i="2"/>
  <c r="C51" i="2"/>
  <c r="C52" i="2"/>
  <c r="S52" i="2" s="1"/>
  <c r="D52" i="2" s="1"/>
  <c r="C53" i="2"/>
  <c r="S53" i="2" s="1"/>
  <c r="D53" i="2" s="1"/>
  <c r="C54" i="2"/>
  <c r="C55" i="2"/>
  <c r="S55" i="2" s="1"/>
  <c r="D55" i="2" s="1"/>
  <c r="C56" i="2"/>
  <c r="S56" i="2" s="1"/>
  <c r="D56" i="2" s="1"/>
  <c r="F2" i="17"/>
  <c r="D21" i="17"/>
  <c r="D10" i="17"/>
  <c r="D11" i="17"/>
  <c r="D12" i="17"/>
  <c r="D13" i="17"/>
  <c r="D14" i="17"/>
  <c r="D15" i="17"/>
  <c r="D16" i="17"/>
  <c r="D17" i="17"/>
  <c r="D18" i="17"/>
  <c r="D19" i="17"/>
  <c r="D20" i="17"/>
  <c r="D9" i="17"/>
  <c r="G17" i="2"/>
  <c r="G18" i="2"/>
  <c r="G19" i="2"/>
  <c r="G27" i="14"/>
  <c r="C36" i="14"/>
  <c r="G15" i="2"/>
  <c r="G16" i="2"/>
  <c r="H3" i="16"/>
  <c r="H3" i="14"/>
  <c r="H4" i="15"/>
  <c r="F1" i="11"/>
  <c r="H3" i="2"/>
  <c r="C52" i="16"/>
  <c r="E62" i="14"/>
  <c r="G59" i="2"/>
  <c r="E59" i="2"/>
  <c r="C59" i="2"/>
  <c r="E16" i="14"/>
  <c r="G12" i="14"/>
  <c r="G13" i="14"/>
  <c r="G14" i="14"/>
  <c r="G15" i="14"/>
  <c r="G11" i="14"/>
  <c r="G16" i="14"/>
  <c r="E16" i="16"/>
  <c r="G12" i="16"/>
  <c r="G13" i="16"/>
  <c r="G14" i="16"/>
  <c r="G16" i="16"/>
  <c r="G15" i="16"/>
  <c r="G11" i="16"/>
  <c r="R30" i="16"/>
  <c r="R31" i="16"/>
  <c r="R32" i="16"/>
  <c r="R33" i="16"/>
  <c r="R34" i="16"/>
  <c r="R35" i="16"/>
  <c r="R36" i="16"/>
  <c r="R37" i="16"/>
  <c r="R38" i="16"/>
  <c r="R39" i="16"/>
  <c r="R40" i="16"/>
  <c r="R41" i="16"/>
  <c r="R42" i="16"/>
  <c r="R43" i="16"/>
  <c r="R44" i="16"/>
  <c r="R45" i="16"/>
  <c r="R46" i="16"/>
  <c r="R47" i="16"/>
  <c r="R48" i="16"/>
  <c r="R49" i="16"/>
  <c r="R29" i="16"/>
  <c r="C6" i="16"/>
  <c r="C5" i="16"/>
  <c r="C4" i="16"/>
  <c r="C6" i="14"/>
  <c r="C5" i="14"/>
  <c r="C4" i="14"/>
  <c r="C7" i="15"/>
  <c r="C6" i="15"/>
  <c r="C5" i="15"/>
  <c r="C5" i="2"/>
  <c r="C6" i="2"/>
  <c r="C4" i="2"/>
  <c r="C49" i="16"/>
  <c r="S49" i="16" s="1"/>
  <c r="T49" i="16"/>
  <c r="D49" i="16" s="1"/>
  <c r="C48" i="16"/>
  <c r="C47" i="16"/>
  <c r="C46" i="16"/>
  <c r="S46" i="16" s="1"/>
  <c r="T46" i="16" s="1"/>
  <c r="D46" i="16" s="1"/>
  <c r="C45" i="16"/>
  <c r="S45" i="16" s="1"/>
  <c r="T45" i="16" s="1"/>
  <c r="D45" i="16" s="1"/>
  <c r="C44" i="16"/>
  <c r="S44" i="16" s="1"/>
  <c r="T44" i="16" s="1"/>
  <c r="D44" i="16" s="1"/>
  <c r="C43" i="16"/>
  <c r="C42" i="16"/>
  <c r="C41" i="16"/>
  <c r="C40" i="16"/>
  <c r="S40" i="16" s="1"/>
  <c r="T40" i="16" s="1"/>
  <c r="D40" i="16" s="1"/>
  <c r="C39" i="16"/>
  <c r="S39" i="16" s="1"/>
  <c r="T39" i="16" s="1"/>
  <c r="D39" i="16" s="1"/>
  <c r="C38" i="16"/>
  <c r="C37" i="16"/>
  <c r="C36" i="16"/>
  <c r="S36" i="16" s="1"/>
  <c r="T36" i="16" s="1"/>
  <c r="D36" i="16" s="1"/>
  <c r="C35" i="16"/>
  <c r="S35" i="16" s="1"/>
  <c r="T35" i="16" s="1"/>
  <c r="C34" i="16"/>
  <c r="C33" i="16"/>
  <c r="S33" i="16" s="1"/>
  <c r="T33" i="16"/>
  <c r="D33" i="16" s="1"/>
  <c r="C32" i="16"/>
  <c r="S32" i="16" s="1"/>
  <c r="T32" i="16" s="1"/>
  <c r="D32" i="16" s="1"/>
  <c r="C31" i="16"/>
  <c r="C30" i="16"/>
  <c r="S30" i="16" s="1"/>
  <c r="T30" i="16" s="1"/>
  <c r="C29" i="16"/>
  <c r="S29" i="16" s="1"/>
  <c r="T29" i="16" s="1"/>
  <c r="D29" i="16" s="1"/>
  <c r="C54" i="14"/>
  <c r="S54" i="14" s="1"/>
  <c r="C53" i="14"/>
  <c r="C52" i="14"/>
  <c r="C51" i="14"/>
  <c r="C50" i="14"/>
  <c r="S50" i="14" s="1"/>
  <c r="C49" i="14"/>
  <c r="S49" i="14" s="1"/>
  <c r="C48" i="14"/>
  <c r="C47" i="14"/>
  <c r="C46" i="14"/>
  <c r="S46" i="14" s="1"/>
  <c r="C45" i="14"/>
  <c r="S45" i="14" s="1"/>
  <c r="C44" i="14"/>
  <c r="C43" i="14"/>
  <c r="S43" i="14" s="1"/>
  <c r="G43" i="14" s="1"/>
  <c r="C42" i="14"/>
  <c r="S42" i="14" s="1"/>
  <c r="C41" i="14"/>
  <c r="S41" i="14" s="1"/>
  <c r="C40" i="14"/>
  <c r="C39" i="14"/>
  <c r="C38" i="14"/>
  <c r="S38" i="14" s="1"/>
  <c r="C37" i="14"/>
  <c r="S37" i="14" s="1"/>
  <c r="C35" i="14"/>
  <c r="C34" i="14"/>
  <c r="S34" i="14" s="1"/>
  <c r="G12" i="2"/>
  <c r="G13" i="2"/>
  <c r="G14" i="2"/>
  <c r="G21" i="2"/>
  <c r="G20" i="2"/>
  <c r="G11" i="2"/>
  <c r="C64" i="2"/>
  <c r="C65" i="2"/>
  <c r="E21" i="2"/>
  <c r="E63" i="14"/>
  <c r="E64" i="14"/>
  <c r="D30" i="16"/>
  <c r="F20" i="16"/>
  <c r="R46" i="14"/>
  <c r="E27" i="2"/>
  <c r="R43" i="14"/>
  <c r="E43" i="14"/>
  <c r="R50" i="14"/>
  <c r="I57" i="19"/>
  <c r="J58" i="19"/>
  <c r="C52" i="15"/>
  <c r="J51" i="19"/>
  <c r="H59" i="19"/>
  <c r="S54" i="20"/>
  <c r="G67" i="20"/>
  <c r="G68" i="20"/>
  <c r="S46" i="20"/>
  <c r="S55" i="20"/>
  <c r="S51" i="20"/>
  <c r="S49" i="20"/>
  <c r="S45" i="20"/>
  <c r="S43" i="20"/>
  <c r="S42" i="20"/>
  <c r="S44" i="20"/>
  <c r="S48" i="20"/>
  <c r="S39" i="20"/>
  <c r="G13" i="20"/>
  <c r="I20" i="21"/>
  <c r="H40" i="21"/>
  <c r="V41" i="2"/>
  <c r="C56" i="15"/>
  <c r="E28" i="2"/>
  <c r="C66" i="2"/>
  <c r="S48" i="14"/>
  <c r="R36" i="20"/>
  <c r="I24" i="20"/>
  <c r="E67" i="20"/>
  <c r="E68" i="20"/>
  <c r="E69" i="20"/>
  <c r="R50" i="20"/>
  <c r="R39" i="20"/>
  <c r="R46" i="20"/>
  <c r="R40" i="20"/>
  <c r="I25" i="20"/>
  <c r="R49" i="20"/>
  <c r="T49" i="20"/>
  <c r="E49" i="20" s="1"/>
  <c r="R37" i="20"/>
  <c r="R42" i="20"/>
  <c r="R43" i="20"/>
  <c r="R54" i="20"/>
  <c r="R41" i="20"/>
  <c r="C36" i="15"/>
  <c r="C37" i="15"/>
  <c r="C38" i="15"/>
  <c r="C55" i="15"/>
  <c r="E66" i="15"/>
  <c r="C47" i="15"/>
  <c r="C48" i="15"/>
  <c r="C45" i="15"/>
  <c r="C50" i="15"/>
  <c r="C43" i="15"/>
  <c r="C44" i="15"/>
  <c r="C51" i="15"/>
  <c r="V37" i="2"/>
  <c r="S47" i="16"/>
  <c r="T47" i="16"/>
  <c r="D47" i="16" s="1"/>
  <c r="D35" i="16"/>
  <c r="S38" i="16"/>
  <c r="T38" i="16" s="1"/>
  <c r="D38" i="16" s="1"/>
  <c r="S34" i="16"/>
  <c r="T34" i="16" s="1"/>
  <c r="D34" i="16" s="1"/>
  <c r="S43" i="16"/>
  <c r="T43" i="16" s="1"/>
  <c r="D43" i="16" s="1"/>
  <c r="S48" i="16"/>
  <c r="T48" i="16" s="1"/>
  <c r="D48" i="16" s="1"/>
  <c r="S42" i="16"/>
  <c r="T42" i="16" s="1"/>
  <c r="D42" i="16"/>
  <c r="R38" i="14"/>
  <c r="R51" i="14"/>
  <c r="S51" i="14"/>
  <c r="G51" i="14" s="1"/>
  <c r="R37" i="14"/>
  <c r="R53" i="14"/>
  <c r="R45" i="14"/>
  <c r="R35" i="14"/>
  <c r="S35" i="14"/>
  <c r="R47" i="14"/>
  <c r="S47" i="14"/>
  <c r="G47" i="14" s="1"/>
  <c r="R40" i="14"/>
  <c r="S40" i="14"/>
  <c r="R52" i="14"/>
  <c r="S52" i="14"/>
  <c r="G52" i="14" s="1"/>
  <c r="R44" i="14"/>
  <c r="S44" i="14"/>
  <c r="R49" i="14"/>
  <c r="R48" i="14"/>
  <c r="R54" i="14"/>
  <c r="E65" i="14"/>
  <c r="R36" i="14"/>
  <c r="S36" i="14"/>
  <c r="E36" i="14" s="1"/>
  <c r="R41" i="14"/>
  <c r="R42" i="14"/>
  <c r="R34" i="14"/>
  <c r="R39" i="14"/>
  <c r="S39" i="14"/>
  <c r="E39" i="14" s="1"/>
  <c r="C46" i="15"/>
  <c r="S53" i="14"/>
  <c r="G53" i="14" s="1"/>
  <c r="V42" i="2"/>
  <c r="W42" i="2" s="1"/>
  <c r="H42" i="2" s="1"/>
  <c r="V54" i="2"/>
  <c r="W54" i="2" s="1"/>
  <c r="H54" i="2" s="1"/>
  <c r="T41" i="2"/>
  <c r="T56" i="2"/>
  <c r="U56" i="2"/>
  <c r="F56" i="2" s="1"/>
  <c r="T46" i="20"/>
  <c r="E46" i="20" s="1"/>
  <c r="S31" i="16"/>
  <c r="T31" i="16" s="1"/>
  <c r="D31" i="16"/>
  <c r="G24" i="22"/>
  <c r="L53" i="23"/>
  <c r="J58" i="23"/>
  <c r="G29" i="22"/>
  <c r="S37" i="16"/>
  <c r="T37" i="16" s="1"/>
  <c r="D37" i="16" s="1"/>
  <c r="S41" i="16"/>
  <c r="T41" i="16" s="1"/>
  <c r="D41" i="16"/>
  <c r="V53" i="2"/>
  <c r="G17" i="20"/>
  <c r="E70" i="20"/>
  <c r="C54" i="20"/>
  <c r="C39" i="20"/>
  <c r="U39" i="20" s="1"/>
  <c r="G39" i="20" s="1"/>
  <c r="C55" i="20"/>
  <c r="U55" i="20" s="1"/>
  <c r="G55" i="20" s="1"/>
  <c r="C44" i="20"/>
  <c r="C37" i="20"/>
  <c r="C53" i="20"/>
  <c r="T53" i="20" s="1"/>
  <c r="C50" i="20"/>
  <c r="C43" i="20"/>
  <c r="T43" i="20" s="1"/>
  <c r="E43" i="20" s="1"/>
  <c r="E66" i="20"/>
  <c r="C48" i="20"/>
  <c r="C41" i="20"/>
  <c r="U41" i="20" s="1"/>
  <c r="G41" i="20" s="1"/>
  <c r="C38" i="20"/>
  <c r="T38" i="20" s="1"/>
  <c r="E38" i="20" s="1"/>
  <c r="C47" i="20"/>
  <c r="C36" i="20"/>
  <c r="T36" i="20" s="1"/>
  <c r="E36" i="20" s="1"/>
  <c r="C52" i="20"/>
  <c r="U52" i="20" s="1"/>
  <c r="G52" i="20" s="1"/>
  <c r="C45" i="20"/>
  <c r="U45" i="20" s="1"/>
  <c r="G45" i="20" s="1"/>
  <c r="C42" i="20"/>
  <c r="C40" i="20"/>
  <c r="T40" i="20" s="1"/>
  <c r="E40" i="20" s="1"/>
  <c r="E62" i="20"/>
  <c r="H65" i="21"/>
  <c r="G17" i="22"/>
  <c r="E70" i="22"/>
  <c r="J64" i="21"/>
  <c r="E40" i="14"/>
  <c r="G40" i="14"/>
  <c r="G44" i="14"/>
  <c r="E44" i="14"/>
  <c r="G35" i="14"/>
  <c r="E35" i="14"/>
  <c r="R49" i="22"/>
  <c r="T37" i="20"/>
  <c r="E37" i="20" s="1"/>
  <c r="E52" i="14"/>
  <c r="R48" i="22"/>
  <c r="T48" i="22"/>
  <c r="E48" i="22"/>
  <c r="R51" i="22"/>
  <c r="T51" i="22"/>
  <c r="E51" i="22" s="1"/>
  <c r="E53" i="20"/>
  <c r="I25" i="22"/>
  <c r="I24" i="22"/>
  <c r="E67" i="22"/>
  <c r="E68" i="22"/>
  <c r="R50" i="22"/>
  <c r="R54" i="22"/>
  <c r="T54" i="22"/>
  <c r="E54" i="22" s="1"/>
  <c r="R43" i="22"/>
  <c r="T43" i="22"/>
  <c r="E43" i="22" s="1"/>
  <c r="R56" i="22"/>
  <c r="R52" i="22"/>
  <c r="R42" i="22"/>
  <c r="R45" i="22"/>
  <c r="U47" i="20"/>
  <c r="G47" i="20" s="1"/>
  <c r="T54" i="20"/>
  <c r="E54" i="20"/>
  <c r="U54" i="20"/>
  <c r="G54" i="20" s="1"/>
  <c r="R40" i="2"/>
  <c r="R43" i="2"/>
  <c r="S43" i="2"/>
  <c r="D43" i="2" s="1"/>
  <c r="R49" i="2"/>
  <c r="D49" i="2"/>
  <c r="R48" i="2"/>
  <c r="R56" i="2"/>
  <c r="T37" i="2"/>
  <c r="U37" i="2"/>
  <c r="F37" i="2" s="1"/>
  <c r="R41" i="2"/>
  <c r="D41" i="2"/>
  <c r="T40" i="2"/>
  <c r="U40" i="2"/>
  <c r="F40" i="2" s="1"/>
  <c r="T43" i="2"/>
  <c r="T48" i="2"/>
  <c r="U48" i="2"/>
  <c r="F48" i="2" s="1"/>
  <c r="T45" i="2"/>
  <c r="U45" i="2"/>
  <c r="F45" i="2" s="1"/>
  <c r="R52" i="2"/>
  <c r="R54" i="2"/>
  <c r="S54" i="2"/>
  <c r="D54" i="2" s="1"/>
  <c r="R44" i="2"/>
  <c r="R55" i="2"/>
  <c r="V43" i="2"/>
  <c r="W43" i="2" s="1"/>
  <c r="H43" i="2" s="1"/>
  <c r="R42" i="2"/>
  <c r="S42" i="2"/>
  <c r="D42" i="2" s="1"/>
  <c r="T42" i="2"/>
  <c r="V55" i="2"/>
  <c r="W55" i="2" s="1"/>
  <c r="H55" i="2" s="1"/>
  <c r="T54" i="2"/>
  <c r="T39" i="2"/>
  <c r="T49" i="2"/>
  <c r="T46" i="2"/>
  <c r="U46" i="2"/>
  <c r="F46" i="2" s="1"/>
  <c r="R47" i="2"/>
  <c r="S47" i="2"/>
  <c r="D47" i="2" s="1"/>
  <c r="R45" i="2"/>
  <c r="R36" i="2"/>
  <c r="R51" i="2"/>
  <c r="S51" i="2"/>
  <c r="D51" i="2" s="1"/>
  <c r="T53" i="2"/>
  <c r="U53" i="2"/>
  <c r="F53" i="2" s="1"/>
  <c r="V50" i="2"/>
  <c r="W50" i="2" s="1"/>
  <c r="H50" i="2" s="1"/>
  <c r="T52" i="2"/>
  <c r="U52" i="2"/>
  <c r="F52" i="2" s="1"/>
  <c r="R53" i="2"/>
  <c r="R38" i="2"/>
  <c r="S38" i="2"/>
  <c r="D38" i="2" s="1"/>
  <c r="W49" i="2"/>
  <c r="H49" i="2" s="1"/>
  <c r="T47" i="2"/>
  <c r="F47" i="2"/>
  <c r="R37" i="2"/>
  <c r="V47" i="2"/>
  <c r="T36" i="2"/>
  <c r="R39" i="2"/>
  <c r="T38" i="2"/>
  <c r="T44" i="2"/>
  <c r="U44" i="2"/>
  <c r="F44" i="2" s="1"/>
  <c r="V38" i="2"/>
  <c r="W38" i="2" s="1"/>
  <c r="H38" i="2" s="1"/>
  <c r="R46" i="2"/>
  <c r="S46" i="2"/>
  <c r="D46" i="2" s="1"/>
  <c r="R50" i="2"/>
  <c r="S50" i="2"/>
  <c r="D50" i="2" s="1"/>
  <c r="G64" i="20"/>
  <c r="G71" i="20"/>
  <c r="R40" i="22"/>
  <c r="R44" i="22"/>
  <c r="T44" i="22"/>
  <c r="E44" i="22" s="1"/>
  <c r="R46" i="22"/>
  <c r="T46" i="22"/>
  <c r="E46" i="22"/>
  <c r="R39" i="22"/>
  <c r="U44" i="20"/>
  <c r="G44" i="20" s="1"/>
  <c r="V46" i="2"/>
  <c r="W46" i="2" s="1"/>
  <c r="H46" i="2" s="1"/>
  <c r="T55" i="2"/>
  <c r="W45" i="2"/>
  <c r="H45" i="2" s="1"/>
  <c r="R52" i="20"/>
  <c r="R56" i="20"/>
  <c r="T56" i="20"/>
  <c r="E56" i="20" s="1"/>
  <c r="R55" i="20"/>
  <c r="R47" i="20"/>
  <c r="T47" i="20"/>
  <c r="E47" i="20" s="1"/>
  <c r="S37" i="20"/>
  <c r="U37" i="20"/>
  <c r="G37" i="20" s="1"/>
  <c r="S50" i="20"/>
  <c r="U50" i="20"/>
  <c r="G50" i="20" s="1"/>
  <c r="S36" i="20"/>
  <c r="S53" i="20"/>
  <c r="U53" i="20"/>
  <c r="G53" i="20" s="1"/>
  <c r="S40" i="20"/>
  <c r="R37" i="22"/>
  <c r="T37" i="22"/>
  <c r="E37" i="22" s="1"/>
  <c r="U36" i="20"/>
  <c r="G36" i="20" s="1"/>
  <c r="T39" i="20"/>
  <c r="E39" i="20" s="1"/>
  <c r="G48" i="14"/>
  <c r="E48" i="14"/>
  <c r="R38" i="22"/>
  <c r="T38" i="22"/>
  <c r="E38" i="22" s="1"/>
  <c r="R55" i="22"/>
  <c r="T55" i="22"/>
  <c r="E55" i="22" s="1"/>
  <c r="U42" i="20"/>
  <c r="G42" i="20" s="1"/>
  <c r="T42" i="20"/>
  <c r="E42" i="20" s="1"/>
  <c r="U40" i="20"/>
  <c r="G40" i="20" s="1"/>
  <c r="R47" i="22"/>
  <c r="R53" i="22"/>
  <c r="R41" i="22"/>
  <c r="T41" i="22"/>
  <c r="E41" i="22" s="1"/>
  <c r="R36" i="22"/>
  <c r="T36" i="22"/>
  <c r="E36" i="22" s="1"/>
  <c r="T52" i="20"/>
  <c r="E52" i="20" s="1"/>
  <c r="T41" i="20"/>
  <c r="E41" i="20" s="1"/>
  <c r="T50" i="20"/>
  <c r="E50" i="20" s="1"/>
  <c r="T55" i="20"/>
  <c r="E55" i="20"/>
  <c r="S54" i="22"/>
  <c r="U54" i="22"/>
  <c r="G54" i="22" s="1"/>
  <c r="S49" i="22"/>
  <c r="U49" i="22"/>
  <c r="G49" i="22" s="1"/>
  <c r="S39" i="22"/>
  <c r="U39" i="22"/>
  <c r="G39" i="22" s="1"/>
  <c r="S48" i="22"/>
  <c r="U48" i="22"/>
  <c r="G48" i="22" s="1"/>
  <c r="S47" i="22"/>
  <c r="S45" i="22"/>
  <c r="U45" i="22"/>
  <c r="G45" i="22" s="1"/>
  <c r="S43" i="22"/>
  <c r="S37" i="22"/>
  <c r="G37" i="22"/>
  <c r="S44" i="22"/>
  <c r="S50" i="22"/>
  <c r="S42" i="22"/>
  <c r="S38" i="22"/>
  <c r="U38" i="22"/>
  <c r="G38" i="22"/>
  <c r="S51" i="22"/>
  <c r="S40" i="22"/>
  <c r="U40" i="22"/>
  <c r="G40" i="22" s="1"/>
  <c r="S56" i="22"/>
  <c r="S46" i="22"/>
  <c r="U46" i="22"/>
  <c r="G46" i="22" s="1"/>
  <c r="S55" i="22"/>
  <c r="S52" i="22"/>
  <c r="U52" i="22"/>
  <c r="G52" i="22" s="1"/>
  <c r="G67" i="22"/>
  <c r="G68" i="22"/>
  <c r="S41" i="22"/>
  <c r="U41" i="22"/>
  <c r="G41" i="22" s="1"/>
  <c r="S36" i="22"/>
  <c r="S53" i="22"/>
  <c r="U53" i="22"/>
  <c r="G53" i="22" s="1"/>
  <c r="T51" i="2"/>
  <c r="T50" i="2"/>
  <c r="V56" i="2"/>
  <c r="W56" i="2" s="1"/>
  <c r="H56" i="2" s="1"/>
  <c r="E53" i="14"/>
  <c r="E47" i="14"/>
  <c r="R44" i="20"/>
  <c r="T44" i="20"/>
  <c r="E44" i="20" s="1"/>
  <c r="R53" i="20"/>
  <c r="R51" i="20"/>
  <c r="R38" i="20"/>
  <c r="R48" i="20"/>
  <c r="R45" i="20"/>
  <c r="S38" i="20"/>
  <c r="S52" i="20"/>
  <c r="S41" i="20"/>
  <c r="S47" i="20"/>
  <c r="S56" i="20"/>
  <c r="U56" i="20"/>
  <c r="G56" i="20" s="1"/>
  <c r="E69" i="22"/>
  <c r="C53" i="15" l="1"/>
  <c r="C42" i="15"/>
  <c r="C41" i="15"/>
  <c r="C54" i="15"/>
  <c r="C40" i="15"/>
  <c r="G67" i="15"/>
  <c r="G68" i="15" s="1"/>
  <c r="I15" i="19"/>
  <c r="H35" i="19" s="1"/>
  <c r="G24" i="15"/>
  <c r="R53" i="15" s="1"/>
  <c r="T53" i="15" s="1"/>
  <c r="E53" i="15" s="1"/>
  <c r="G17" i="15"/>
  <c r="S36" i="15" s="1"/>
  <c r="U36" i="15" s="1"/>
  <c r="G36" i="15" s="1"/>
  <c r="G64" i="15"/>
  <c r="G71" i="15" s="1"/>
  <c r="S43" i="15"/>
  <c r="U43" i="15" s="1"/>
  <c r="G43" i="15" s="1"/>
  <c r="R51" i="15"/>
  <c r="T51" i="15" s="1"/>
  <c r="E51" i="15" s="1"/>
  <c r="S42" i="15"/>
  <c r="R56" i="15"/>
  <c r="T56" i="15" s="1"/>
  <c r="E56" i="15" s="1"/>
  <c r="S38" i="15"/>
  <c r="U38" i="15" s="1"/>
  <c r="G38" i="15" s="1"/>
  <c r="S39" i="15"/>
  <c r="U39" i="15" s="1"/>
  <c r="G39" i="15" s="1"/>
  <c r="S50" i="15"/>
  <c r="U50" i="15" s="1"/>
  <c r="G50" i="15" s="1"/>
  <c r="S44" i="15"/>
  <c r="U44" i="15" s="1"/>
  <c r="G44" i="15" s="1"/>
  <c r="R44" i="15"/>
  <c r="T44" i="15" s="1"/>
  <c r="E44" i="15" s="1"/>
  <c r="S55" i="15"/>
  <c r="U55" i="15" s="1"/>
  <c r="G55" i="15" s="1"/>
  <c r="R45" i="15"/>
  <c r="T45" i="15" s="1"/>
  <c r="E45" i="15" s="1"/>
  <c r="S56" i="15"/>
  <c r="U56" i="15" s="1"/>
  <c r="G56" i="15" s="1"/>
  <c r="C63" i="2"/>
  <c r="D63" i="2"/>
  <c r="C61" i="2"/>
  <c r="C62" i="2" s="1"/>
  <c r="C67" i="2" s="1"/>
  <c r="C68" i="2" s="1"/>
  <c r="E63" i="2"/>
  <c r="E38" i="14"/>
  <c r="G38" i="14"/>
  <c r="G46" i="14"/>
  <c r="E46" i="14"/>
  <c r="G50" i="14"/>
  <c r="E50" i="14"/>
  <c r="G54" i="14"/>
  <c r="D54" i="14"/>
  <c r="E61" i="2"/>
  <c r="E62" i="2" s="1"/>
  <c r="E67" i="2" s="1"/>
  <c r="G34" i="14"/>
  <c r="E34" i="14"/>
  <c r="G36" i="14"/>
  <c r="U50" i="22"/>
  <c r="G50" i="22" s="1"/>
  <c r="W44" i="2"/>
  <c r="H44" i="2" s="1"/>
  <c r="W52" i="2"/>
  <c r="H52" i="2" s="1"/>
  <c r="T42" i="22"/>
  <c r="E42" i="22" s="1"/>
  <c r="W48" i="2"/>
  <c r="H48" i="2" s="1"/>
  <c r="T45" i="20"/>
  <c r="E45" i="20" s="1"/>
  <c r="G39" i="14"/>
  <c r="U56" i="22"/>
  <c r="G56" i="22" s="1"/>
  <c r="U43" i="20"/>
  <c r="G43" i="20" s="1"/>
  <c r="D54" i="16"/>
  <c r="U38" i="20"/>
  <c r="G38" i="20" s="1"/>
  <c r="G60" i="22"/>
  <c r="U48" i="20"/>
  <c r="G48" i="20" s="1"/>
  <c r="T48" i="20"/>
  <c r="E48" i="20" s="1"/>
  <c r="G42" i="14"/>
  <c r="E42" i="14"/>
  <c r="C54" i="16"/>
  <c r="C53" i="16"/>
  <c r="F63" i="2"/>
  <c r="E51" i="14"/>
  <c r="G37" i="14"/>
  <c r="E37" i="14"/>
  <c r="G41" i="14"/>
  <c r="E41" i="14"/>
  <c r="E45" i="14"/>
  <c r="G45" i="14"/>
  <c r="G49" i="14"/>
  <c r="E49" i="14"/>
  <c r="W53" i="2"/>
  <c r="H53" i="2" s="1"/>
  <c r="W41" i="2"/>
  <c r="H41" i="2" s="1"/>
  <c r="W37" i="2"/>
  <c r="H37" i="2" s="1"/>
  <c r="T51" i="20"/>
  <c r="E51" i="20" s="1"/>
  <c r="U51" i="20"/>
  <c r="G51" i="20" s="1"/>
  <c r="G65" i="20" s="1"/>
  <c r="T47" i="22"/>
  <c r="E47" i="22" s="1"/>
  <c r="U47" i="22"/>
  <c r="G47" i="22" s="1"/>
  <c r="R43" i="15" l="1"/>
  <c r="T43" i="15" s="1"/>
  <c r="E43" i="15" s="1"/>
  <c r="R36" i="15"/>
  <c r="T36" i="15" s="1"/>
  <c r="E36" i="15" s="1"/>
  <c r="R54" i="15"/>
  <c r="T54" i="15" s="1"/>
  <c r="E54" i="15" s="1"/>
  <c r="R48" i="15"/>
  <c r="T48" i="15" s="1"/>
  <c r="E48" i="15" s="1"/>
  <c r="R49" i="15"/>
  <c r="T49" i="15" s="1"/>
  <c r="E49" i="15" s="1"/>
  <c r="R52" i="15"/>
  <c r="T52" i="15" s="1"/>
  <c r="E52" i="15" s="1"/>
  <c r="U42" i="15"/>
  <c r="G42" i="15" s="1"/>
  <c r="H65" i="22"/>
  <c r="S45" i="15"/>
  <c r="U45" i="15" s="1"/>
  <c r="G45" i="15" s="1"/>
  <c r="S49" i="15"/>
  <c r="U49" i="15" s="1"/>
  <c r="G49" i="15" s="1"/>
  <c r="S51" i="15"/>
  <c r="U51" i="15" s="1"/>
  <c r="G51" i="15" s="1"/>
  <c r="S47" i="15"/>
  <c r="U47" i="15" s="1"/>
  <c r="G47" i="15" s="1"/>
  <c r="R46" i="15"/>
  <c r="T46" i="15" s="1"/>
  <c r="E46" i="15" s="1"/>
  <c r="R38" i="15"/>
  <c r="T38" i="15" s="1"/>
  <c r="E38" i="15" s="1"/>
  <c r="R50" i="15"/>
  <c r="T50" i="15" s="1"/>
  <c r="E50" i="15" s="1"/>
  <c r="R41" i="15"/>
  <c r="T41" i="15" s="1"/>
  <c r="E41" i="15" s="1"/>
  <c r="S40" i="15"/>
  <c r="U40" i="15" s="1"/>
  <c r="G40" i="15" s="1"/>
  <c r="E70" i="15"/>
  <c r="R37" i="15"/>
  <c r="T37" i="15" s="1"/>
  <c r="E37" i="15" s="1"/>
  <c r="S37" i="15"/>
  <c r="U37" i="15" s="1"/>
  <c r="G37" i="15" s="1"/>
  <c r="I25" i="15"/>
  <c r="I24" i="15"/>
  <c r="E67" i="15" s="1"/>
  <c r="E68" i="15" s="1"/>
  <c r="E69" i="15" s="1"/>
  <c r="R42" i="15"/>
  <c r="T42" i="15" s="1"/>
  <c r="E42" i="15" s="1"/>
  <c r="S52" i="15"/>
  <c r="U52" i="15" s="1"/>
  <c r="G52" i="15" s="1"/>
  <c r="S53" i="15"/>
  <c r="U53" i="15" s="1"/>
  <c r="G53" i="15" s="1"/>
  <c r="R39" i="15"/>
  <c r="T39" i="15" s="1"/>
  <c r="E39" i="15" s="1"/>
  <c r="S41" i="15"/>
  <c r="U41" i="15" s="1"/>
  <c r="G41" i="15" s="1"/>
  <c r="S48" i="15"/>
  <c r="U48" i="15" s="1"/>
  <c r="G48" i="15" s="1"/>
  <c r="R40" i="15"/>
  <c r="T40" i="15" s="1"/>
  <c r="E40" i="15" s="1"/>
  <c r="R47" i="15"/>
  <c r="T47" i="15" s="1"/>
  <c r="E47" i="15" s="1"/>
  <c r="R55" i="15"/>
  <c r="T55" i="15" s="1"/>
  <c r="E55" i="15" s="1"/>
  <c r="S46" i="15"/>
  <c r="U46" i="15" s="1"/>
  <c r="G46" i="15" s="1"/>
  <c r="S54" i="15"/>
  <c r="U54" i="15" s="1"/>
  <c r="G54" i="15" s="1"/>
  <c r="G63" i="2"/>
  <c r="H65" i="20"/>
  <c r="E60" i="22"/>
  <c r="E61" i="22" s="1"/>
  <c r="F61" i="14"/>
  <c r="J62" i="23"/>
  <c r="N64" i="23"/>
  <c r="I60" i="22"/>
  <c r="G61" i="22" s="1"/>
  <c r="G60" i="20"/>
  <c r="I60" i="20" s="1"/>
  <c r="G61" i="20" s="1"/>
  <c r="H63" i="2"/>
  <c r="G61" i="2"/>
  <c r="G62" i="2" s="1"/>
  <c r="G67" i="2" s="1"/>
  <c r="E60" i="20"/>
  <c r="E61" i="20" s="1"/>
  <c r="E58" i="14"/>
  <c r="E59" i="14" s="1"/>
  <c r="E60" i="14" s="1"/>
  <c r="G58" i="14"/>
  <c r="G59" i="14" s="1"/>
  <c r="G60" i="14" s="1"/>
  <c r="H61" i="14"/>
  <c r="G61" i="14"/>
  <c r="E61" i="14"/>
  <c r="G65" i="22"/>
  <c r="G60" i="15" l="1"/>
  <c r="E60" i="15"/>
  <c r="H62" i="21" s="1"/>
  <c r="H62" i="23"/>
  <c r="N63" i="21"/>
  <c r="E61" i="15"/>
  <c r="M57" i="19" s="1"/>
  <c r="N57" i="19"/>
  <c r="H56" i="19"/>
  <c r="G65" i="15"/>
  <c r="H65" i="15"/>
  <c r="N63" i="23"/>
  <c r="U66" i="20"/>
  <c r="E63" i="20"/>
  <c r="B67" i="21" s="1"/>
  <c r="N59" i="19"/>
  <c r="J56" i="19"/>
  <c r="N64" i="21"/>
  <c r="J62" i="21"/>
  <c r="I60" i="15"/>
  <c r="G61" i="15" s="1"/>
  <c r="E63" i="15" s="1"/>
  <c r="B61" i="19" s="1"/>
  <c r="J63" i="23"/>
  <c r="M64" i="23"/>
  <c r="H63" i="23"/>
  <c r="U66" i="22"/>
  <c r="E63" i="22"/>
  <c r="B67" i="23" s="1"/>
  <c r="M63" i="23"/>
  <c r="H57" i="19" l="1"/>
  <c r="H63" i="21"/>
  <c r="M63" i="21"/>
  <c r="U66" i="15"/>
  <c r="B66" i="23"/>
  <c r="I62" i="23"/>
  <c r="J57" i="19"/>
  <c r="J63" i="21"/>
  <c r="M64" i="21"/>
  <c r="M59" i="19"/>
  <c r="I56" i="19" s="1"/>
  <c r="I62" i="21" l="1"/>
  <c r="B66" i="21"/>
  <c r="B6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weningerv</author>
  </authors>
  <commentList>
    <comment ref="G10" authorId="0" shapeId="0" xr:uid="{00000000-0006-0000-0000-000001000000}">
      <text>
        <r>
          <rPr>
            <sz val="9"/>
            <color indexed="81"/>
            <rFont val="Tahoma"/>
            <family val="2"/>
          </rPr>
          <t xml:space="preserve">
hartgedeckte Dächer...................................................</t>
        </r>
        <r>
          <rPr>
            <b/>
            <sz val="9"/>
            <color indexed="81"/>
            <rFont val="Tahoma"/>
            <family val="2"/>
          </rPr>
          <t>1,0</t>
        </r>
        <r>
          <rPr>
            <sz val="9"/>
            <color indexed="81"/>
            <rFont val="Tahoma"/>
            <family val="2"/>
          </rPr>
          <t xml:space="preserve"> 
extensiv begrünte Dächer gem. ÖNORM L 1131 
sowie ÖNORM B 2501..................................................</t>
        </r>
        <r>
          <rPr>
            <b/>
            <sz val="9"/>
            <color indexed="81"/>
            <rFont val="Tahoma"/>
            <family val="2"/>
          </rPr>
          <t>0,5</t>
        </r>
        <r>
          <rPr>
            <sz val="9"/>
            <color indexed="81"/>
            <rFont val="Tahoma"/>
            <family val="2"/>
          </rPr>
          <t xml:space="preserve"> 
intensiv begrünte Dächer gem. ÖNORM L 1131
sowie ÖNORM B 2501..................................................</t>
        </r>
        <r>
          <rPr>
            <b/>
            <sz val="9"/>
            <color indexed="81"/>
            <rFont val="Tahoma"/>
            <family val="2"/>
          </rPr>
          <t>0,3</t>
        </r>
        <r>
          <rPr>
            <sz val="9"/>
            <color indexed="81"/>
            <rFont val="Tahoma"/>
            <family val="2"/>
          </rPr>
          <t xml:space="preserve"> 
befestigte (zB asphaltierte) Höfe und Wege.........</t>
        </r>
        <r>
          <rPr>
            <b/>
            <sz val="9"/>
            <color indexed="81"/>
            <rFont val="Tahoma"/>
            <family val="2"/>
          </rPr>
          <t>0,8 bis 1,0</t>
        </r>
        <r>
          <rPr>
            <sz val="9"/>
            <color indexed="81"/>
            <rFont val="Tahoma"/>
            <family val="2"/>
          </rPr>
          <t xml:space="preserve"> 
Kieswege (verdichtet).......................................</t>
        </r>
        <r>
          <rPr>
            <b/>
            <sz val="9"/>
            <color indexed="81"/>
            <rFont val="Tahoma"/>
            <family val="2"/>
          </rPr>
          <t>0,6 bis 0,8</t>
        </r>
        <r>
          <rPr>
            <sz val="9"/>
            <color indexed="81"/>
            <rFont val="Tahoma"/>
            <family val="2"/>
          </rPr>
          <t xml:space="preserve"> 
Grünflächen und Rasengittersteine, je nach 
Neigung und Durchlässigkeit inklusive Untergrund ..........</t>
        </r>
        <r>
          <rPr>
            <b/>
            <sz val="9"/>
            <color indexed="81"/>
            <rFont val="Tahoma"/>
            <family val="2"/>
          </rPr>
          <t xml:space="preserve">&lt; 0,5
</t>
        </r>
      </text>
    </comment>
    <comment ref="G11" authorId="0" shapeId="0" xr:uid="{00000000-0006-0000-0000-000002000000}">
      <text>
        <r>
          <rPr>
            <sz val="9"/>
            <color indexed="81"/>
            <rFont val="Tahoma"/>
            <family val="2"/>
          </rPr>
          <t xml:space="preserve">
hartgedeckte Dächer...................................................</t>
        </r>
        <r>
          <rPr>
            <b/>
            <sz val="9"/>
            <color indexed="81"/>
            <rFont val="Tahoma"/>
            <family val="2"/>
          </rPr>
          <t>1,0</t>
        </r>
        <r>
          <rPr>
            <sz val="9"/>
            <color indexed="81"/>
            <rFont val="Tahoma"/>
            <family val="2"/>
          </rPr>
          <t xml:space="preserve"> 
extensiv begrünte Dächer gem. ÖNORM L 1131 
sowie ÖNORM B 2501..................................................</t>
        </r>
        <r>
          <rPr>
            <b/>
            <sz val="9"/>
            <color indexed="81"/>
            <rFont val="Tahoma"/>
            <family val="2"/>
          </rPr>
          <t>0,5</t>
        </r>
        <r>
          <rPr>
            <sz val="9"/>
            <color indexed="81"/>
            <rFont val="Tahoma"/>
            <family val="2"/>
          </rPr>
          <t xml:space="preserve"> 
intensiv begrünte Dächer gem. ÖNORM L 1131
sowie ÖNORM B 2501..................................................</t>
        </r>
        <r>
          <rPr>
            <b/>
            <sz val="9"/>
            <color indexed="81"/>
            <rFont val="Tahoma"/>
            <family val="2"/>
          </rPr>
          <t>0,3</t>
        </r>
        <r>
          <rPr>
            <sz val="9"/>
            <color indexed="81"/>
            <rFont val="Tahoma"/>
            <family val="2"/>
          </rPr>
          <t xml:space="preserve"> 
befestigte (zB asphaltierte) Höfe und Wege.........</t>
        </r>
        <r>
          <rPr>
            <b/>
            <sz val="9"/>
            <color indexed="81"/>
            <rFont val="Tahoma"/>
            <family val="2"/>
          </rPr>
          <t xml:space="preserve">0,8 bis 1,0 </t>
        </r>
        <r>
          <rPr>
            <sz val="9"/>
            <color indexed="81"/>
            <rFont val="Tahoma"/>
            <family val="2"/>
          </rPr>
          <t xml:space="preserve">
Kieswege (verdichtet).......................................</t>
        </r>
        <r>
          <rPr>
            <b/>
            <sz val="9"/>
            <color indexed="81"/>
            <rFont val="Tahoma"/>
            <family val="2"/>
          </rPr>
          <t>0,6 bis 0,8</t>
        </r>
        <r>
          <rPr>
            <sz val="9"/>
            <color indexed="81"/>
            <rFont val="Tahoma"/>
            <family val="2"/>
          </rPr>
          <t xml:space="preserve"> 
Grünflächen und Rasengittersteine, je nach 
Neigung und Durchlässigkeit inklusive Untergrund ..........</t>
        </r>
        <r>
          <rPr>
            <b/>
            <sz val="9"/>
            <color indexed="81"/>
            <rFont val="Tahoma"/>
            <family val="2"/>
          </rPr>
          <t>&lt; 0,5</t>
        </r>
        <r>
          <rPr>
            <sz val="9"/>
            <color indexed="81"/>
            <rFont val="Tahoma"/>
            <family val="2"/>
          </rPr>
          <t xml:space="preserve">
</t>
        </r>
      </text>
    </comment>
    <comment ref="G12" authorId="0" shapeId="0" xr:uid="{00000000-0006-0000-0000-000003000000}">
      <text>
        <r>
          <rPr>
            <sz val="9"/>
            <color indexed="81"/>
            <rFont val="Tahoma"/>
            <family val="2"/>
          </rPr>
          <t xml:space="preserve">
hartgedeckte Dächer...................................................</t>
        </r>
        <r>
          <rPr>
            <b/>
            <sz val="9"/>
            <color indexed="81"/>
            <rFont val="Tahoma"/>
            <family val="2"/>
          </rPr>
          <t xml:space="preserve">1,0 </t>
        </r>
        <r>
          <rPr>
            <sz val="9"/>
            <color indexed="81"/>
            <rFont val="Tahoma"/>
            <family val="2"/>
          </rPr>
          <t xml:space="preserve">
extensiv begrünte Dächer gem. ÖNORM L 1131 
sowie ÖNORM B 2501..................................................</t>
        </r>
        <r>
          <rPr>
            <b/>
            <sz val="9"/>
            <color indexed="81"/>
            <rFont val="Tahoma"/>
            <family val="2"/>
          </rPr>
          <t>0,5</t>
        </r>
        <r>
          <rPr>
            <sz val="9"/>
            <color indexed="81"/>
            <rFont val="Tahoma"/>
            <family val="2"/>
          </rPr>
          <t xml:space="preserve"> 
intensiv begrünte Dächer gem. ÖNORM L 1131
sowie ÖNORM B 2501..................................................</t>
        </r>
        <r>
          <rPr>
            <b/>
            <sz val="9"/>
            <color indexed="81"/>
            <rFont val="Tahoma"/>
            <family val="2"/>
          </rPr>
          <t>0,3</t>
        </r>
        <r>
          <rPr>
            <sz val="9"/>
            <color indexed="81"/>
            <rFont val="Tahoma"/>
            <family val="2"/>
          </rPr>
          <t xml:space="preserve"> 
befestigte (zB asphaltierte) Höfe und Wege.........</t>
        </r>
        <r>
          <rPr>
            <b/>
            <sz val="9"/>
            <color indexed="81"/>
            <rFont val="Tahoma"/>
            <family val="2"/>
          </rPr>
          <t>0,8 bis 1,0</t>
        </r>
        <r>
          <rPr>
            <sz val="9"/>
            <color indexed="81"/>
            <rFont val="Tahoma"/>
            <family val="2"/>
          </rPr>
          <t xml:space="preserve"> 
Kieswege (verdichtet).......................................</t>
        </r>
        <r>
          <rPr>
            <b/>
            <sz val="9"/>
            <color indexed="81"/>
            <rFont val="Tahoma"/>
            <family val="2"/>
          </rPr>
          <t>0,6 bis 0,8</t>
        </r>
        <r>
          <rPr>
            <sz val="9"/>
            <color indexed="81"/>
            <rFont val="Tahoma"/>
            <family val="2"/>
          </rPr>
          <t xml:space="preserve"> 
Grünflächen und Rasengittersteine, je nach 
Neigung und Durchlässigkeit inklusive Untergrund ..........</t>
        </r>
        <r>
          <rPr>
            <b/>
            <sz val="9"/>
            <color indexed="81"/>
            <rFont val="Tahoma"/>
            <family val="2"/>
          </rPr>
          <t>&lt; 0,5</t>
        </r>
        <r>
          <rPr>
            <sz val="9"/>
            <color indexed="81"/>
            <rFont val="Tahoma"/>
            <family val="2"/>
          </rPr>
          <t xml:space="preserve">
</t>
        </r>
      </text>
    </comment>
    <comment ref="G13" authorId="0" shapeId="0" xr:uid="{00000000-0006-0000-0000-000004000000}">
      <text>
        <r>
          <rPr>
            <sz val="9"/>
            <color indexed="81"/>
            <rFont val="Tahoma"/>
            <family val="2"/>
          </rPr>
          <t xml:space="preserve">
hartgedeckte Dächer...................................................</t>
        </r>
        <r>
          <rPr>
            <b/>
            <sz val="9"/>
            <color indexed="81"/>
            <rFont val="Tahoma"/>
            <family val="2"/>
          </rPr>
          <t>1,0</t>
        </r>
        <r>
          <rPr>
            <sz val="9"/>
            <color indexed="81"/>
            <rFont val="Tahoma"/>
            <family val="2"/>
          </rPr>
          <t xml:space="preserve"> 
extensiv begrünte Dächer gem. ÖNORM L 1131 
sowie ÖNORM B 2501..................................................</t>
        </r>
        <r>
          <rPr>
            <b/>
            <sz val="9"/>
            <color indexed="81"/>
            <rFont val="Tahoma"/>
            <family val="2"/>
          </rPr>
          <t>0,5</t>
        </r>
        <r>
          <rPr>
            <sz val="9"/>
            <color indexed="81"/>
            <rFont val="Tahoma"/>
            <family val="2"/>
          </rPr>
          <t xml:space="preserve"> 
intensiv begrünte Dächer gem. ÖNORM L 1131
sowie ÖNORM B 2501..................................................</t>
        </r>
        <r>
          <rPr>
            <b/>
            <sz val="9"/>
            <color indexed="81"/>
            <rFont val="Tahoma"/>
            <family val="2"/>
          </rPr>
          <t>0,3</t>
        </r>
        <r>
          <rPr>
            <sz val="9"/>
            <color indexed="81"/>
            <rFont val="Tahoma"/>
            <family val="2"/>
          </rPr>
          <t xml:space="preserve"> 
befestigte (zB asphaltierte) Höfe und Wege.........</t>
        </r>
        <r>
          <rPr>
            <b/>
            <sz val="9"/>
            <color indexed="81"/>
            <rFont val="Tahoma"/>
            <family val="2"/>
          </rPr>
          <t>0,8 bis 1,0</t>
        </r>
        <r>
          <rPr>
            <sz val="9"/>
            <color indexed="81"/>
            <rFont val="Tahoma"/>
            <family val="2"/>
          </rPr>
          <t xml:space="preserve"> 
Kieswege (verdichtet).......................................</t>
        </r>
        <r>
          <rPr>
            <b/>
            <sz val="9"/>
            <color indexed="81"/>
            <rFont val="Tahoma"/>
            <family val="2"/>
          </rPr>
          <t>0,6 bis 0,8</t>
        </r>
        <r>
          <rPr>
            <sz val="9"/>
            <color indexed="81"/>
            <rFont val="Tahoma"/>
            <family val="2"/>
          </rPr>
          <t xml:space="preserve"> 
Grünflächen und Rasengittersteine, je nach 
Neigung und Durchlässigkeit inklusive Untergrund ..........</t>
        </r>
        <r>
          <rPr>
            <b/>
            <sz val="9"/>
            <color indexed="81"/>
            <rFont val="Tahoma"/>
            <family val="2"/>
          </rPr>
          <t>&lt; 0,5</t>
        </r>
      </text>
    </comment>
    <comment ref="G14" authorId="0" shapeId="0" xr:uid="{00000000-0006-0000-0000-000005000000}">
      <text>
        <r>
          <rPr>
            <sz val="9"/>
            <color indexed="81"/>
            <rFont val="Tahoma"/>
            <family val="2"/>
          </rPr>
          <t xml:space="preserve">
hartgedeckte Dächer...................................................</t>
        </r>
        <r>
          <rPr>
            <b/>
            <sz val="9"/>
            <color indexed="81"/>
            <rFont val="Tahoma"/>
            <family val="2"/>
          </rPr>
          <t>1,0</t>
        </r>
        <r>
          <rPr>
            <sz val="9"/>
            <color indexed="81"/>
            <rFont val="Tahoma"/>
            <family val="2"/>
          </rPr>
          <t xml:space="preserve"> 
extensiv begrünte Dächer gem. ÖNORM L 1131 
sowie ÖNORM B 2501..................................................</t>
        </r>
        <r>
          <rPr>
            <b/>
            <sz val="9"/>
            <color indexed="81"/>
            <rFont val="Tahoma"/>
            <family val="2"/>
          </rPr>
          <t>0,5</t>
        </r>
        <r>
          <rPr>
            <sz val="9"/>
            <color indexed="81"/>
            <rFont val="Tahoma"/>
            <family val="2"/>
          </rPr>
          <t xml:space="preserve"> 
intensiv begrünte Dächer gem. ÖNORM L 1131
sowie ÖNORM B 2501..................................................</t>
        </r>
        <r>
          <rPr>
            <b/>
            <sz val="9"/>
            <color indexed="81"/>
            <rFont val="Tahoma"/>
            <family val="2"/>
          </rPr>
          <t>0,3</t>
        </r>
        <r>
          <rPr>
            <sz val="9"/>
            <color indexed="81"/>
            <rFont val="Tahoma"/>
            <family val="2"/>
          </rPr>
          <t xml:space="preserve"> 
befestigte (zB asphaltierte) Höfe und Wege.........</t>
        </r>
        <r>
          <rPr>
            <b/>
            <sz val="9"/>
            <color indexed="81"/>
            <rFont val="Tahoma"/>
            <family val="2"/>
          </rPr>
          <t>0,8 bis 1,0</t>
        </r>
        <r>
          <rPr>
            <sz val="9"/>
            <color indexed="81"/>
            <rFont val="Tahoma"/>
            <family val="2"/>
          </rPr>
          <t xml:space="preserve"> 
Kieswege (verdichtet).......................................</t>
        </r>
        <r>
          <rPr>
            <b/>
            <sz val="9"/>
            <color indexed="81"/>
            <rFont val="Tahoma"/>
            <family val="2"/>
          </rPr>
          <t>0,6 bis 0,8</t>
        </r>
        <r>
          <rPr>
            <sz val="9"/>
            <color indexed="81"/>
            <rFont val="Tahoma"/>
            <family val="2"/>
          </rPr>
          <t xml:space="preserve"> 
Grünflächen und Rasengittersteine, je nach 
Neigung und Durchlässigkeit inklusive Untergrund ..........</t>
        </r>
        <r>
          <rPr>
            <b/>
            <sz val="9"/>
            <color indexed="81"/>
            <rFont val="Tahoma"/>
            <family val="2"/>
          </rPr>
          <t>&lt; 0,5</t>
        </r>
      </text>
    </comment>
    <comment ref="H40" authorId="0" shapeId="0" xr:uid="{00000000-0006-0000-0000-000006000000}">
      <text>
        <r>
          <rPr>
            <b/>
            <sz val="9"/>
            <color indexed="81"/>
            <rFont val="Tahoma"/>
            <family val="2"/>
          </rPr>
          <t xml:space="preserve">HINWEIS:
</t>
        </r>
        <r>
          <rPr>
            <sz val="9"/>
            <color indexed="81"/>
            <rFont val="Tahoma"/>
            <family val="2"/>
          </rPr>
          <t xml:space="preserve">Porenspeichervolumen sollte zwischen 15 % und 30 % liegen.
</t>
        </r>
      </text>
    </comment>
    <comment ref="J44" authorId="0" shapeId="0" xr:uid="{00000000-0006-0000-0000-000007000000}">
      <text>
        <r>
          <rPr>
            <b/>
            <sz val="9"/>
            <color indexed="81"/>
            <rFont val="Tahoma"/>
            <family val="2"/>
          </rPr>
          <t xml:space="preserve">HINWEIS
</t>
        </r>
        <r>
          <rPr>
            <sz val="9"/>
            <color indexed="81"/>
            <rFont val="Tahoma"/>
            <family val="2"/>
          </rPr>
          <t xml:space="preserve">mit Vorfilterung ....1,0 (ÖNORM)
ohne Vorfilterung ....0,5 (ÖNORM)
</t>
        </r>
      </text>
    </comment>
    <comment ref="J46" authorId="0" shapeId="0" xr:uid="{00000000-0006-0000-0000-000008000000}">
      <text>
        <r>
          <rPr>
            <b/>
            <sz val="9"/>
            <color indexed="81"/>
            <rFont val="Tahoma"/>
            <family val="2"/>
          </rPr>
          <t xml:space="preserve">HINWEIS
</t>
        </r>
        <r>
          <rPr>
            <sz val="9"/>
            <color indexed="81"/>
            <rFont val="Tahoma"/>
            <family val="2"/>
          </rPr>
          <t xml:space="preserve">Der Faktor ist von der Herkunft des kf-Wertes abhängig. 
Feldversuch: 2 (entspricht  Wert 1 lt. ÖNORM B 2506-1 unter Berücksichtigung, dass kfu = kf/2)
Bodenansprache: 1,0 (lt. DWA A 138)
Sieblinie: 0,2  (entspricht  Wert 0,1 lt. ÖNORM B 2506-1 unter Berücksichtigung, dass kfu = kf/2)
</t>
        </r>
      </text>
    </comment>
    <comment ref="J52" authorId="0" shapeId="0" xr:uid="{00000000-0006-0000-0000-000009000000}">
      <text>
        <r>
          <rPr>
            <b/>
            <sz val="9"/>
            <color indexed="81"/>
            <rFont val="Tahoma"/>
            <family val="2"/>
          </rPr>
          <t xml:space="preserve">HINWEIS
</t>
        </r>
        <r>
          <rPr>
            <sz val="9"/>
            <color indexed="81"/>
            <rFont val="Tahoma"/>
            <family val="2"/>
          </rPr>
          <t xml:space="preserve">Fläche muss gleich oder größer als Sickerschachtsohle sein.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weningerv</author>
  </authors>
  <commentList>
    <comment ref="G15" authorId="0" shapeId="0" xr:uid="{00000000-0006-0000-0100-000001000000}">
      <text>
        <r>
          <rPr>
            <sz val="9"/>
            <color indexed="81"/>
            <rFont val="Tahoma"/>
            <family val="2"/>
          </rPr>
          <t xml:space="preserve">
hartgedeckte Dächer...................................................</t>
        </r>
        <r>
          <rPr>
            <b/>
            <sz val="9"/>
            <color indexed="81"/>
            <rFont val="Tahoma"/>
            <family val="2"/>
          </rPr>
          <t>1,0</t>
        </r>
        <r>
          <rPr>
            <sz val="9"/>
            <color indexed="81"/>
            <rFont val="Tahoma"/>
            <family val="2"/>
          </rPr>
          <t xml:space="preserve"> 
extensiv begrünte Dächer gem. ÖNORM L 1131 
sowie ÖNORM B 2501..................................................</t>
        </r>
        <r>
          <rPr>
            <b/>
            <sz val="9"/>
            <color indexed="81"/>
            <rFont val="Tahoma"/>
            <family val="2"/>
          </rPr>
          <t>0,5</t>
        </r>
        <r>
          <rPr>
            <sz val="9"/>
            <color indexed="81"/>
            <rFont val="Tahoma"/>
            <family val="2"/>
          </rPr>
          <t xml:space="preserve"> 
intensiv begrünte Dächer gem. ÖNORM L 1131
sowie ÖNORM B 2501..................................................</t>
        </r>
        <r>
          <rPr>
            <b/>
            <sz val="9"/>
            <color indexed="81"/>
            <rFont val="Tahoma"/>
            <family val="2"/>
          </rPr>
          <t>0,3</t>
        </r>
        <r>
          <rPr>
            <sz val="9"/>
            <color indexed="81"/>
            <rFont val="Tahoma"/>
            <family val="2"/>
          </rPr>
          <t xml:space="preserve"> 
befestigte (zB asphaltierte) Höfe und Wege.........</t>
        </r>
        <r>
          <rPr>
            <b/>
            <sz val="9"/>
            <color indexed="81"/>
            <rFont val="Tahoma"/>
            <family val="2"/>
          </rPr>
          <t>0,8 bis 1,0</t>
        </r>
        <r>
          <rPr>
            <sz val="9"/>
            <color indexed="81"/>
            <rFont val="Tahoma"/>
            <family val="2"/>
          </rPr>
          <t xml:space="preserve"> 
Kieswege (verdichtet).......................................</t>
        </r>
        <r>
          <rPr>
            <b/>
            <sz val="9"/>
            <color indexed="81"/>
            <rFont val="Tahoma"/>
            <family val="2"/>
          </rPr>
          <t>0,6 bis 0,8</t>
        </r>
        <r>
          <rPr>
            <sz val="9"/>
            <color indexed="81"/>
            <rFont val="Tahoma"/>
            <family val="2"/>
          </rPr>
          <t xml:space="preserve"> 
Grünflächen und Rasengittersteine, je nach 
Neigung und Durchlässigkeit inklusive Untergrund ..........</t>
        </r>
        <r>
          <rPr>
            <b/>
            <sz val="9"/>
            <color indexed="81"/>
            <rFont val="Tahoma"/>
            <family val="2"/>
          </rPr>
          <t xml:space="preserve">&lt; 0,5
</t>
        </r>
      </text>
    </comment>
    <comment ref="G16" authorId="0" shapeId="0" xr:uid="{00000000-0006-0000-0100-000002000000}">
      <text>
        <r>
          <rPr>
            <sz val="9"/>
            <color indexed="81"/>
            <rFont val="Tahoma"/>
            <family val="2"/>
          </rPr>
          <t xml:space="preserve">
hartgedeckte Dächer...................................................</t>
        </r>
        <r>
          <rPr>
            <b/>
            <sz val="9"/>
            <color indexed="81"/>
            <rFont val="Tahoma"/>
            <family val="2"/>
          </rPr>
          <t>1,0</t>
        </r>
        <r>
          <rPr>
            <sz val="9"/>
            <color indexed="81"/>
            <rFont val="Tahoma"/>
            <family val="2"/>
          </rPr>
          <t xml:space="preserve"> 
extensiv begrünte Dächer gem. ÖNORM L 1131 
sowie ÖNORM B 2501..................................................</t>
        </r>
        <r>
          <rPr>
            <b/>
            <sz val="9"/>
            <color indexed="81"/>
            <rFont val="Tahoma"/>
            <family val="2"/>
          </rPr>
          <t>0,5</t>
        </r>
        <r>
          <rPr>
            <sz val="9"/>
            <color indexed="81"/>
            <rFont val="Tahoma"/>
            <family val="2"/>
          </rPr>
          <t xml:space="preserve"> 
intensiv begrünte Dächer gem. ÖNORM L 1131
sowie ÖNORM B 2501..................................................</t>
        </r>
        <r>
          <rPr>
            <b/>
            <sz val="9"/>
            <color indexed="81"/>
            <rFont val="Tahoma"/>
            <family val="2"/>
          </rPr>
          <t>0,3</t>
        </r>
        <r>
          <rPr>
            <sz val="9"/>
            <color indexed="81"/>
            <rFont val="Tahoma"/>
            <family val="2"/>
          </rPr>
          <t xml:space="preserve"> 
befestigte (zB asphaltierte) Höfe und Wege.........</t>
        </r>
        <r>
          <rPr>
            <b/>
            <sz val="9"/>
            <color indexed="81"/>
            <rFont val="Tahoma"/>
            <family val="2"/>
          </rPr>
          <t xml:space="preserve">0,8 bis 1,0 </t>
        </r>
        <r>
          <rPr>
            <sz val="9"/>
            <color indexed="81"/>
            <rFont val="Tahoma"/>
            <family val="2"/>
          </rPr>
          <t xml:space="preserve">
Kieswege (verdichtet).......................................</t>
        </r>
        <r>
          <rPr>
            <b/>
            <sz val="9"/>
            <color indexed="81"/>
            <rFont val="Tahoma"/>
            <family val="2"/>
          </rPr>
          <t>0,6 bis 0,8</t>
        </r>
        <r>
          <rPr>
            <sz val="9"/>
            <color indexed="81"/>
            <rFont val="Tahoma"/>
            <family val="2"/>
          </rPr>
          <t xml:space="preserve"> 
Grünflächen und Rasengittersteine, je nach 
Neigung und Durchlässigkeit inklusive Untergrund ..........</t>
        </r>
        <r>
          <rPr>
            <b/>
            <sz val="9"/>
            <color indexed="81"/>
            <rFont val="Tahoma"/>
            <family val="2"/>
          </rPr>
          <t>&lt; 0,5</t>
        </r>
        <r>
          <rPr>
            <sz val="9"/>
            <color indexed="81"/>
            <rFont val="Tahoma"/>
            <family val="2"/>
          </rPr>
          <t xml:space="preserve">
</t>
        </r>
      </text>
    </comment>
    <comment ref="G17" authorId="0" shapeId="0" xr:uid="{00000000-0006-0000-0100-000003000000}">
      <text>
        <r>
          <rPr>
            <sz val="9"/>
            <color indexed="81"/>
            <rFont val="Tahoma"/>
            <family val="2"/>
          </rPr>
          <t xml:space="preserve">
hartgedeckte Dächer...................................................</t>
        </r>
        <r>
          <rPr>
            <b/>
            <sz val="9"/>
            <color indexed="81"/>
            <rFont val="Tahoma"/>
            <family val="2"/>
          </rPr>
          <t xml:space="preserve">1,0 </t>
        </r>
        <r>
          <rPr>
            <sz val="9"/>
            <color indexed="81"/>
            <rFont val="Tahoma"/>
            <family val="2"/>
          </rPr>
          <t xml:space="preserve">
extensiv begrünte Dächer gem. ÖNORM L 1131 
sowie ÖNORM B 2501..................................................</t>
        </r>
        <r>
          <rPr>
            <b/>
            <sz val="9"/>
            <color indexed="81"/>
            <rFont val="Tahoma"/>
            <family val="2"/>
          </rPr>
          <t>0,5</t>
        </r>
        <r>
          <rPr>
            <sz val="9"/>
            <color indexed="81"/>
            <rFont val="Tahoma"/>
            <family val="2"/>
          </rPr>
          <t xml:space="preserve"> 
intensiv begrünte Dächer gem. ÖNORM L 1131
sowie ÖNORM B 2501..................................................</t>
        </r>
        <r>
          <rPr>
            <b/>
            <sz val="9"/>
            <color indexed="81"/>
            <rFont val="Tahoma"/>
            <family val="2"/>
          </rPr>
          <t>0,3</t>
        </r>
        <r>
          <rPr>
            <sz val="9"/>
            <color indexed="81"/>
            <rFont val="Tahoma"/>
            <family val="2"/>
          </rPr>
          <t xml:space="preserve"> 
befestigte (zB asphaltierte) Höfe und Wege.........</t>
        </r>
        <r>
          <rPr>
            <b/>
            <sz val="9"/>
            <color indexed="81"/>
            <rFont val="Tahoma"/>
            <family val="2"/>
          </rPr>
          <t>0,8 bis 1,0</t>
        </r>
        <r>
          <rPr>
            <sz val="9"/>
            <color indexed="81"/>
            <rFont val="Tahoma"/>
            <family val="2"/>
          </rPr>
          <t xml:space="preserve"> 
Kieswege (verdichtet).......................................</t>
        </r>
        <r>
          <rPr>
            <b/>
            <sz val="9"/>
            <color indexed="81"/>
            <rFont val="Tahoma"/>
            <family val="2"/>
          </rPr>
          <t>0,6 bis 0,8</t>
        </r>
        <r>
          <rPr>
            <sz val="9"/>
            <color indexed="81"/>
            <rFont val="Tahoma"/>
            <family val="2"/>
          </rPr>
          <t xml:space="preserve"> 
Grünflächen und Rasengittersteine, je nach 
Neigung und Durchlässigkeit inklusive Untergrund ..........</t>
        </r>
        <r>
          <rPr>
            <b/>
            <sz val="9"/>
            <color indexed="81"/>
            <rFont val="Tahoma"/>
            <family val="2"/>
          </rPr>
          <t>&lt; 0,5</t>
        </r>
        <r>
          <rPr>
            <sz val="9"/>
            <color indexed="81"/>
            <rFont val="Tahoma"/>
            <family val="2"/>
          </rPr>
          <t xml:space="preserve">
</t>
        </r>
      </text>
    </comment>
    <comment ref="G18" authorId="0" shapeId="0" xr:uid="{00000000-0006-0000-0100-000004000000}">
      <text>
        <r>
          <rPr>
            <sz val="9"/>
            <color indexed="81"/>
            <rFont val="Tahoma"/>
            <family val="2"/>
          </rPr>
          <t xml:space="preserve">
hartgedeckte Dächer...................................................</t>
        </r>
        <r>
          <rPr>
            <b/>
            <sz val="9"/>
            <color indexed="81"/>
            <rFont val="Tahoma"/>
            <family val="2"/>
          </rPr>
          <t>1,0</t>
        </r>
        <r>
          <rPr>
            <sz val="9"/>
            <color indexed="81"/>
            <rFont val="Tahoma"/>
            <family val="2"/>
          </rPr>
          <t xml:space="preserve"> 
extensiv begrünte Dächer gem. ÖNORM L 1131 
sowie ÖNORM B 2501..................................................</t>
        </r>
        <r>
          <rPr>
            <b/>
            <sz val="9"/>
            <color indexed="81"/>
            <rFont val="Tahoma"/>
            <family val="2"/>
          </rPr>
          <t>0,5</t>
        </r>
        <r>
          <rPr>
            <sz val="9"/>
            <color indexed="81"/>
            <rFont val="Tahoma"/>
            <family val="2"/>
          </rPr>
          <t xml:space="preserve"> 
intensiv begrünte Dächer gem. ÖNORM L 1131
sowie ÖNORM B 2501..................................................</t>
        </r>
        <r>
          <rPr>
            <b/>
            <sz val="9"/>
            <color indexed="81"/>
            <rFont val="Tahoma"/>
            <family val="2"/>
          </rPr>
          <t>0,3</t>
        </r>
        <r>
          <rPr>
            <sz val="9"/>
            <color indexed="81"/>
            <rFont val="Tahoma"/>
            <family val="2"/>
          </rPr>
          <t xml:space="preserve"> 
befestigte (zB asphaltierte) Höfe und Wege.........</t>
        </r>
        <r>
          <rPr>
            <b/>
            <sz val="9"/>
            <color indexed="81"/>
            <rFont val="Tahoma"/>
            <family val="2"/>
          </rPr>
          <t>0,8 bis 1,0</t>
        </r>
        <r>
          <rPr>
            <sz val="9"/>
            <color indexed="81"/>
            <rFont val="Tahoma"/>
            <family val="2"/>
          </rPr>
          <t xml:space="preserve"> 
Kieswege (verdichtet).......................................</t>
        </r>
        <r>
          <rPr>
            <b/>
            <sz val="9"/>
            <color indexed="81"/>
            <rFont val="Tahoma"/>
            <family val="2"/>
          </rPr>
          <t>0,6 bis 0,8</t>
        </r>
        <r>
          <rPr>
            <sz val="9"/>
            <color indexed="81"/>
            <rFont val="Tahoma"/>
            <family val="2"/>
          </rPr>
          <t xml:space="preserve"> 
Grünflächen und Rasengittersteine, je nach 
Neigung und Durchlässigkeit inklusive Untergrund ..........</t>
        </r>
        <r>
          <rPr>
            <b/>
            <sz val="9"/>
            <color indexed="81"/>
            <rFont val="Tahoma"/>
            <family val="2"/>
          </rPr>
          <t>&lt; 0,5</t>
        </r>
      </text>
    </comment>
    <comment ref="G19" authorId="0" shapeId="0" xr:uid="{00000000-0006-0000-0100-000005000000}">
      <text>
        <r>
          <rPr>
            <sz val="9"/>
            <color indexed="81"/>
            <rFont val="Tahoma"/>
            <family val="2"/>
          </rPr>
          <t xml:space="preserve">
hartgedeckte Dächer...................................................</t>
        </r>
        <r>
          <rPr>
            <b/>
            <sz val="9"/>
            <color indexed="81"/>
            <rFont val="Tahoma"/>
            <family val="2"/>
          </rPr>
          <t>1,0</t>
        </r>
        <r>
          <rPr>
            <sz val="9"/>
            <color indexed="81"/>
            <rFont val="Tahoma"/>
            <family val="2"/>
          </rPr>
          <t xml:space="preserve"> 
extensiv begrünte Dächer gem. ÖNORM L 1131 
sowie ÖNORM B 2501..................................................</t>
        </r>
        <r>
          <rPr>
            <b/>
            <sz val="9"/>
            <color indexed="81"/>
            <rFont val="Tahoma"/>
            <family val="2"/>
          </rPr>
          <t>0,5</t>
        </r>
        <r>
          <rPr>
            <sz val="9"/>
            <color indexed="81"/>
            <rFont val="Tahoma"/>
            <family val="2"/>
          </rPr>
          <t xml:space="preserve"> 
intensiv begrünte Dächer gem. ÖNORM L 1131
sowie ÖNORM B 2501..................................................</t>
        </r>
        <r>
          <rPr>
            <b/>
            <sz val="9"/>
            <color indexed="81"/>
            <rFont val="Tahoma"/>
            <family val="2"/>
          </rPr>
          <t>0,3</t>
        </r>
        <r>
          <rPr>
            <sz val="9"/>
            <color indexed="81"/>
            <rFont val="Tahoma"/>
            <family val="2"/>
          </rPr>
          <t xml:space="preserve"> 
befestigte (zB asphaltierte) Höfe und Wege.........</t>
        </r>
        <r>
          <rPr>
            <b/>
            <sz val="9"/>
            <color indexed="81"/>
            <rFont val="Tahoma"/>
            <family val="2"/>
          </rPr>
          <t>0,8 bis 1,0</t>
        </r>
        <r>
          <rPr>
            <sz val="9"/>
            <color indexed="81"/>
            <rFont val="Tahoma"/>
            <family val="2"/>
          </rPr>
          <t xml:space="preserve"> 
Kieswege (verdichtet).......................................</t>
        </r>
        <r>
          <rPr>
            <b/>
            <sz val="9"/>
            <color indexed="81"/>
            <rFont val="Tahoma"/>
            <family val="2"/>
          </rPr>
          <t>0,6 bis 0,8</t>
        </r>
        <r>
          <rPr>
            <sz val="9"/>
            <color indexed="81"/>
            <rFont val="Tahoma"/>
            <family val="2"/>
          </rPr>
          <t xml:space="preserve"> 
Grünflächen und Rasengittersteine, je nach 
Neigung und Durchlässigkeit inklusive Untergrund ..........</t>
        </r>
        <r>
          <rPr>
            <b/>
            <sz val="9"/>
            <color indexed="81"/>
            <rFont val="Tahoma"/>
            <family val="2"/>
          </rPr>
          <t>&lt; 0,5</t>
        </r>
      </text>
    </comment>
    <comment ref="H45" authorId="0" shapeId="0" xr:uid="{00000000-0006-0000-0100-000006000000}">
      <text>
        <r>
          <rPr>
            <b/>
            <sz val="9"/>
            <color indexed="81"/>
            <rFont val="Tahoma"/>
            <family val="2"/>
          </rPr>
          <t xml:space="preserve">HINWEIS:
</t>
        </r>
        <r>
          <rPr>
            <sz val="9"/>
            <color indexed="81"/>
            <rFont val="Tahoma"/>
            <family val="2"/>
          </rPr>
          <t xml:space="preserve">Porenspeichervolumen sollte zwischen 15 % und 30 % liegen.
</t>
        </r>
      </text>
    </comment>
    <comment ref="J49" authorId="0" shapeId="0" xr:uid="{00000000-0006-0000-0100-000007000000}">
      <text>
        <r>
          <rPr>
            <b/>
            <sz val="9"/>
            <color indexed="81"/>
            <rFont val="Tahoma"/>
            <family val="2"/>
          </rPr>
          <t xml:space="preserve">HINWEIS
</t>
        </r>
        <r>
          <rPr>
            <sz val="9"/>
            <color indexed="81"/>
            <rFont val="Tahoma"/>
            <family val="2"/>
          </rPr>
          <t xml:space="preserve">mit Vorfilterung ....1,0 (ÖNORM)
ohne Vorfilterung ....0,5 (ÖNORM)
</t>
        </r>
      </text>
    </comment>
    <comment ref="J52" authorId="0" shapeId="0" xr:uid="{00000000-0006-0000-0100-000008000000}">
      <text>
        <r>
          <rPr>
            <b/>
            <sz val="9"/>
            <color indexed="81"/>
            <rFont val="Tahoma"/>
            <family val="2"/>
          </rPr>
          <t xml:space="preserve">HINWEIS
</t>
        </r>
        <r>
          <rPr>
            <sz val="9"/>
            <color indexed="81"/>
            <rFont val="Tahoma"/>
            <family val="2"/>
          </rPr>
          <t xml:space="preserve">Der Faktor ist von der Herkunft des kf-Wertes abhängig. 
Feldversuch: 2 (entspricht  Wert 1 lt. ÖNORM B 2506-1 unter Berücksichtigung, dass kfu = kf/2)
Bodenansprache: 1,0 (lt. DWA A 138)
Sieblinie: 0,2  (entspricht  Wert 0,1 lt. ÖNORM B 2506-1 unter Berücksichtigung, dass kfu = kf/2)
</t>
        </r>
      </text>
    </comment>
    <comment ref="J58" authorId="0" shapeId="0" xr:uid="{00000000-0006-0000-0100-000009000000}">
      <text>
        <r>
          <rPr>
            <b/>
            <sz val="9"/>
            <color indexed="81"/>
            <rFont val="Tahoma"/>
            <family val="2"/>
          </rPr>
          <t xml:space="preserve">HINWEIS
</t>
        </r>
        <r>
          <rPr>
            <sz val="9"/>
            <color indexed="81"/>
            <rFont val="Tahoma"/>
            <family val="2"/>
          </rPr>
          <t xml:space="preserve">Fläche muss gleich oder größer als Sickerschachtsohle sein.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weningerv</author>
  </authors>
  <commentList>
    <comment ref="G15" authorId="0" shapeId="0" xr:uid="{00000000-0006-0000-0200-000001000000}">
      <text>
        <r>
          <rPr>
            <sz val="9"/>
            <color indexed="81"/>
            <rFont val="Tahoma"/>
            <family val="2"/>
          </rPr>
          <t xml:space="preserve">
hartgedeckte Dächer...................................................</t>
        </r>
        <r>
          <rPr>
            <b/>
            <sz val="9"/>
            <color indexed="81"/>
            <rFont val="Tahoma"/>
            <family val="2"/>
          </rPr>
          <t>1,0</t>
        </r>
        <r>
          <rPr>
            <sz val="9"/>
            <color indexed="81"/>
            <rFont val="Tahoma"/>
            <family val="2"/>
          </rPr>
          <t xml:space="preserve"> 
extensiv begrünte Dächer gem. ÖNORM L 1131 
sowie ÖNORM B 2501..................................................</t>
        </r>
        <r>
          <rPr>
            <b/>
            <sz val="9"/>
            <color indexed="81"/>
            <rFont val="Tahoma"/>
            <family val="2"/>
          </rPr>
          <t>0,5</t>
        </r>
        <r>
          <rPr>
            <sz val="9"/>
            <color indexed="81"/>
            <rFont val="Tahoma"/>
            <family val="2"/>
          </rPr>
          <t xml:space="preserve"> 
intensiv begrünte Dächer gem. ÖNORM L 1131
sowie ÖNORM B 2501..................................................</t>
        </r>
        <r>
          <rPr>
            <b/>
            <sz val="9"/>
            <color indexed="81"/>
            <rFont val="Tahoma"/>
            <family val="2"/>
          </rPr>
          <t>0,3</t>
        </r>
        <r>
          <rPr>
            <sz val="9"/>
            <color indexed="81"/>
            <rFont val="Tahoma"/>
            <family val="2"/>
          </rPr>
          <t xml:space="preserve"> 
befestigte (zB asphaltierte) Höfe und Wege.........</t>
        </r>
        <r>
          <rPr>
            <b/>
            <sz val="9"/>
            <color indexed="81"/>
            <rFont val="Tahoma"/>
            <family val="2"/>
          </rPr>
          <t>0,8 bis 1,0</t>
        </r>
        <r>
          <rPr>
            <sz val="9"/>
            <color indexed="81"/>
            <rFont val="Tahoma"/>
            <family val="2"/>
          </rPr>
          <t xml:space="preserve"> 
Kieswege (verdichtet).......................................</t>
        </r>
        <r>
          <rPr>
            <b/>
            <sz val="9"/>
            <color indexed="81"/>
            <rFont val="Tahoma"/>
            <family val="2"/>
          </rPr>
          <t>0,6 bis 0,8</t>
        </r>
        <r>
          <rPr>
            <sz val="9"/>
            <color indexed="81"/>
            <rFont val="Tahoma"/>
            <family val="2"/>
          </rPr>
          <t xml:space="preserve"> 
Grünflächen und Rasengittersteine, je nach 
Neigung und Durchlässigkeit inklusive Untergrund ..........</t>
        </r>
        <r>
          <rPr>
            <b/>
            <sz val="9"/>
            <color indexed="81"/>
            <rFont val="Tahoma"/>
            <family val="2"/>
          </rPr>
          <t xml:space="preserve">&lt; 0,5
</t>
        </r>
      </text>
    </comment>
    <comment ref="G16" authorId="0" shapeId="0" xr:uid="{00000000-0006-0000-0200-000002000000}">
      <text>
        <r>
          <rPr>
            <sz val="9"/>
            <color indexed="81"/>
            <rFont val="Tahoma"/>
            <family val="2"/>
          </rPr>
          <t xml:space="preserve">
hartgedeckte Dächer...................................................</t>
        </r>
        <r>
          <rPr>
            <b/>
            <sz val="9"/>
            <color indexed="81"/>
            <rFont val="Tahoma"/>
            <family val="2"/>
          </rPr>
          <t>1,0</t>
        </r>
        <r>
          <rPr>
            <sz val="9"/>
            <color indexed="81"/>
            <rFont val="Tahoma"/>
            <family val="2"/>
          </rPr>
          <t xml:space="preserve"> 
extensiv begrünte Dächer gem. ÖNORM L 1131 
sowie ÖNORM B 2501..................................................</t>
        </r>
        <r>
          <rPr>
            <b/>
            <sz val="9"/>
            <color indexed="81"/>
            <rFont val="Tahoma"/>
            <family val="2"/>
          </rPr>
          <t>0,5</t>
        </r>
        <r>
          <rPr>
            <sz val="9"/>
            <color indexed="81"/>
            <rFont val="Tahoma"/>
            <family val="2"/>
          </rPr>
          <t xml:space="preserve"> 
intensiv begrünte Dächer gem. ÖNORM L 1131
sowie ÖNORM B 2501..................................................</t>
        </r>
        <r>
          <rPr>
            <b/>
            <sz val="9"/>
            <color indexed="81"/>
            <rFont val="Tahoma"/>
            <family val="2"/>
          </rPr>
          <t>0,3</t>
        </r>
        <r>
          <rPr>
            <sz val="9"/>
            <color indexed="81"/>
            <rFont val="Tahoma"/>
            <family val="2"/>
          </rPr>
          <t xml:space="preserve"> 
befestigte (zB asphaltierte) Höfe und Wege.........</t>
        </r>
        <r>
          <rPr>
            <b/>
            <sz val="9"/>
            <color indexed="81"/>
            <rFont val="Tahoma"/>
            <family val="2"/>
          </rPr>
          <t xml:space="preserve">0,8 bis 1,0 </t>
        </r>
        <r>
          <rPr>
            <sz val="9"/>
            <color indexed="81"/>
            <rFont val="Tahoma"/>
            <family val="2"/>
          </rPr>
          <t xml:space="preserve">
Kieswege (verdichtet).......................................</t>
        </r>
        <r>
          <rPr>
            <b/>
            <sz val="9"/>
            <color indexed="81"/>
            <rFont val="Tahoma"/>
            <family val="2"/>
          </rPr>
          <t>0,6 bis 0,8</t>
        </r>
        <r>
          <rPr>
            <sz val="9"/>
            <color indexed="81"/>
            <rFont val="Tahoma"/>
            <family val="2"/>
          </rPr>
          <t xml:space="preserve"> 
Grünflächen und Rasengittersteine, je nach 
Neigung und Durchlässigkeit inklusive Untergrund ..........</t>
        </r>
        <r>
          <rPr>
            <b/>
            <sz val="9"/>
            <color indexed="81"/>
            <rFont val="Tahoma"/>
            <family val="2"/>
          </rPr>
          <t>&lt; 0,5</t>
        </r>
        <r>
          <rPr>
            <sz val="9"/>
            <color indexed="81"/>
            <rFont val="Tahoma"/>
            <family val="2"/>
          </rPr>
          <t xml:space="preserve">
</t>
        </r>
      </text>
    </comment>
    <comment ref="G17" authorId="0" shapeId="0" xr:uid="{00000000-0006-0000-0200-000003000000}">
      <text>
        <r>
          <rPr>
            <sz val="9"/>
            <color indexed="81"/>
            <rFont val="Tahoma"/>
            <family val="2"/>
          </rPr>
          <t xml:space="preserve">
hartgedeckte Dächer...................................................</t>
        </r>
        <r>
          <rPr>
            <b/>
            <sz val="9"/>
            <color indexed="81"/>
            <rFont val="Tahoma"/>
            <family val="2"/>
          </rPr>
          <t xml:space="preserve">1,0 </t>
        </r>
        <r>
          <rPr>
            <sz val="9"/>
            <color indexed="81"/>
            <rFont val="Tahoma"/>
            <family val="2"/>
          </rPr>
          <t xml:space="preserve">
extensiv begrünte Dächer gem. ÖNORM L 1131 
sowie ÖNORM B 2501..................................................</t>
        </r>
        <r>
          <rPr>
            <b/>
            <sz val="9"/>
            <color indexed="81"/>
            <rFont val="Tahoma"/>
            <family val="2"/>
          </rPr>
          <t>0,5</t>
        </r>
        <r>
          <rPr>
            <sz val="9"/>
            <color indexed="81"/>
            <rFont val="Tahoma"/>
            <family val="2"/>
          </rPr>
          <t xml:space="preserve"> 
intensiv begrünte Dächer gem. ÖNORM L 1131
sowie ÖNORM B 2501..................................................</t>
        </r>
        <r>
          <rPr>
            <b/>
            <sz val="9"/>
            <color indexed="81"/>
            <rFont val="Tahoma"/>
            <family val="2"/>
          </rPr>
          <t>0,3</t>
        </r>
        <r>
          <rPr>
            <sz val="9"/>
            <color indexed="81"/>
            <rFont val="Tahoma"/>
            <family val="2"/>
          </rPr>
          <t xml:space="preserve"> 
befestigte (zB asphaltierte) Höfe und Wege.........</t>
        </r>
        <r>
          <rPr>
            <b/>
            <sz val="9"/>
            <color indexed="81"/>
            <rFont val="Tahoma"/>
            <family val="2"/>
          </rPr>
          <t>0,8 bis 1,0</t>
        </r>
        <r>
          <rPr>
            <sz val="9"/>
            <color indexed="81"/>
            <rFont val="Tahoma"/>
            <family val="2"/>
          </rPr>
          <t xml:space="preserve"> 
Kieswege (verdichtet).......................................</t>
        </r>
        <r>
          <rPr>
            <b/>
            <sz val="9"/>
            <color indexed="81"/>
            <rFont val="Tahoma"/>
            <family val="2"/>
          </rPr>
          <t>0,6 bis 0,8</t>
        </r>
        <r>
          <rPr>
            <sz val="9"/>
            <color indexed="81"/>
            <rFont val="Tahoma"/>
            <family val="2"/>
          </rPr>
          <t xml:space="preserve"> 
Grünflächen und Rasengittersteine, je nach 
Neigung und Durchlässigkeit inklusive Untergrund ..........</t>
        </r>
        <r>
          <rPr>
            <b/>
            <sz val="9"/>
            <color indexed="81"/>
            <rFont val="Tahoma"/>
            <family val="2"/>
          </rPr>
          <t>&lt; 0,5</t>
        </r>
        <r>
          <rPr>
            <sz val="9"/>
            <color indexed="81"/>
            <rFont val="Tahoma"/>
            <family val="2"/>
          </rPr>
          <t xml:space="preserve">
</t>
        </r>
      </text>
    </comment>
    <comment ref="G18" authorId="0" shapeId="0" xr:uid="{00000000-0006-0000-0200-000004000000}">
      <text>
        <r>
          <rPr>
            <sz val="9"/>
            <color indexed="81"/>
            <rFont val="Tahoma"/>
            <family val="2"/>
          </rPr>
          <t xml:space="preserve">
hartgedeckte Dächer...................................................</t>
        </r>
        <r>
          <rPr>
            <b/>
            <sz val="9"/>
            <color indexed="81"/>
            <rFont val="Tahoma"/>
            <family val="2"/>
          </rPr>
          <t>1,0</t>
        </r>
        <r>
          <rPr>
            <sz val="9"/>
            <color indexed="81"/>
            <rFont val="Tahoma"/>
            <family val="2"/>
          </rPr>
          <t xml:space="preserve"> 
extensiv begrünte Dächer gem. ÖNORM L 1131 
sowie ÖNORM B 2501..................................................</t>
        </r>
        <r>
          <rPr>
            <b/>
            <sz val="9"/>
            <color indexed="81"/>
            <rFont val="Tahoma"/>
            <family val="2"/>
          </rPr>
          <t>0,5</t>
        </r>
        <r>
          <rPr>
            <sz val="9"/>
            <color indexed="81"/>
            <rFont val="Tahoma"/>
            <family val="2"/>
          </rPr>
          <t xml:space="preserve"> 
intensiv begrünte Dächer gem. ÖNORM L 1131
sowie ÖNORM B 2501..................................................</t>
        </r>
        <r>
          <rPr>
            <b/>
            <sz val="9"/>
            <color indexed="81"/>
            <rFont val="Tahoma"/>
            <family val="2"/>
          </rPr>
          <t>0,3</t>
        </r>
        <r>
          <rPr>
            <sz val="9"/>
            <color indexed="81"/>
            <rFont val="Tahoma"/>
            <family val="2"/>
          </rPr>
          <t xml:space="preserve"> 
befestigte (zB asphaltierte) Höfe und Wege.........</t>
        </r>
        <r>
          <rPr>
            <b/>
            <sz val="9"/>
            <color indexed="81"/>
            <rFont val="Tahoma"/>
            <family val="2"/>
          </rPr>
          <t>0,8 bis 1,0</t>
        </r>
        <r>
          <rPr>
            <sz val="9"/>
            <color indexed="81"/>
            <rFont val="Tahoma"/>
            <family val="2"/>
          </rPr>
          <t xml:space="preserve"> 
Kieswege (verdichtet).......................................</t>
        </r>
        <r>
          <rPr>
            <b/>
            <sz val="9"/>
            <color indexed="81"/>
            <rFont val="Tahoma"/>
            <family val="2"/>
          </rPr>
          <t>0,6 bis 0,8</t>
        </r>
        <r>
          <rPr>
            <sz val="9"/>
            <color indexed="81"/>
            <rFont val="Tahoma"/>
            <family val="2"/>
          </rPr>
          <t xml:space="preserve"> 
Grünflächen und Rasengittersteine, je nach 
Neigung und Durchlässigkeit inklusive Untergrund ..........</t>
        </r>
        <r>
          <rPr>
            <b/>
            <sz val="9"/>
            <color indexed="81"/>
            <rFont val="Tahoma"/>
            <family val="2"/>
          </rPr>
          <t>&lt; 0,5</t>
        </r>
      </text>
    </comment>
    <comment ref="G19" authorId="0" shapeId="0" xr:uid="{00000000-0006-0000-0200-000005000000}">
      <text>
        <r>
          <rPr>
            <sz val="9"/>
            <color indexed="81"/>
            <rFont val="Tahoma"/>
            <family val="2"/>
          </rPr>
          <t xml:space="preserve">
hartgedeckte Dächer...................................................</t>
        </r>
        <r>
          <rPr>
            <b/>
            <sz val="9"/>
            <color indexed="81"/>
            <rFont val="Tahoma"/>
            <family val="2"/>
          </rPr>
          <t>1,0</t>
        </r>
        <r>
          <rPr>
            <sz val="9"/>
            <color indexed="81"/>
            <rFont val="Tahoma"/>
            <family val="2"/>
          </rPr>
          <t xml:space="preserve"> 
extensiv begrünte Dächer gem. ÖNORM L 1131 
sowie ÖNORM B 2501..................................................</t>
        </r>
        <r>
          <rPr>
            <b/>
            <sz val="9"/>
            <color indexed="81"/>
            <rFont val="Tahoma"/>
            <family val="2"/>
          </rPr>
          <t>0,5</t>
        </r>
        <r>
          <rPr>
            <sz val="9"/>
            <color indexed="81"/>
            <rFont val="Tahoma"/>
            <family val="2"/>
          </rPr>
          <t xml:space="preserve"> 
intensiv begrünte Dächer gem. ÖNORM L 1131
sowie ÖNORM B 2501..................................................</t>
        </r>
        <r>
          <rPr>
            <b/>
            <sz val="9"/>
            <color indexed="81"/>
            <rFont val="Tahoma"/>
            <family val="2"/>
          </rPr>
          <t>0,3</t>
        </r>
        <r>
          <rPr>
            <sz val="9"/>
            <color indexed="81"/>
            <rFont val="Tahoma"/>
            <family val="2"/>
          </rPr>
          <t xml:space="preserve"> 
befestigte (zB asphaltierte) Höfe und Wege.........</t>
        </r>
        <r>
          <rPr>
            <b/>
            <sz val="9"/>
            <color indexed="81"/>
            <rFont val="Tahoma"/>
            <family val="2"/>
          </rPr>
          <t>0,8 bis 1,0</t>
        </r>
        <r>
          <rPr>
            <sz val="9"/>
            <color indexed="81"/>
            <rFont val="Tahoma"/>
            <family val="2"/>
          </rPr>
          <t xml:space="preserve"> 
Kieswege (verdichtet).......................................</t>
        </r>
        <r>
          <rPr>
            <b/>
            <sz val="9"/>
            <color indexed="81"/>
            <rFont val="Tahoma"/>
            <family val="2"/>
          </rPr>
          <t>0,6 bis 0,8</t>
        </r>
        <r>
          <rPr>
            <sz val="9"/>
            <color indexed="81"/>
            <rFont val="Tahoma"/>
            <family val="2"/>
          </rPr>
          <t xml:space="preserve"> 
Grünflächen und Rasengittersteine, je nach 
Neigung und Durchlässigkeit inklusive Untergrund ..........</t>
        </r>
        <r>
          <rPr>
            <b/>
            <sz val="9"/>
            <color indexed="81"/>
            <rFont val="Tahoma"/>
            <family val="2"/>
          </rPr>
          <t>&lt; 0,5</t>
        </r>
      </text>
    </comment>
    <comment ref="H45" authorId="0" shapeId="0" xr:uid="{00000000-0006-0000-0200-000006000000}">
      <text>
        <r>
          <rPr>
            <b/>
            <sz val="9"/>
            <color indexed="81"/>
            <rFont val="Tahoma"/>
            <family val="2"/>
          </rPr>
          <t xml:space="preserve">HINWEIS:
</t>
        </r>
        <r>
          <rPr>
            <sz val="9"/>
            <color indexed="81"/>
            <rFont val="Tahoma"/>
            <family val="2"/>
          </rPr>
          <t xml:space="preserve">Porenspeichervolumen sollte zwischen 15 % und 30 % liegen.
</t>
        </r>
      </text>
    </comment>
    <comment ref="J49" authorId="0" shapeId="0" xr:uid="{00000000-0006-0000-0200-000007000000}">
      <text>
        <r>
          <rPr>
            <b/>
            <sz val="9"/>
            <color indexed="81"/>
            <rFont val="Tahoma"/>
            <family val="2"/>
          </rPr>
          <t xml:space="preserve">HINWEIS
</t>
        </r>
        <r>
          <rPr>
            <sz val="9"/>
            <color indexed="81"/>
            <rFont val="Tahoma"/>
            <family val="2"/>
          </rPr>
          <t xml:space="preserve">mit Vorfilterung ....1,0 (ÖNORM)
ohne Vorfilterung ....0,5 (ÖNORM)
</t>
        </r>
      </text>
    </comment>
    <comment ref="J52" authorId="0" shapeId="0" xr:uid="{00000000-0006-0000-0200-000008000000}">
      <text>
        <r>
          <rPr>
            <b/>
            <sz val="9"/>
            <color indexed="81"/>
            <rFont val="Tahoma"/>
            <family val="2"/>
          </rPr>
          <t xml:space="preserve">HINWEIS
</t>
        </r>
        <r>
          <rPr>
            <sz val="9"/>
            <color indexed="81"/>
            <rFont val="Tahoma"/>
            <family val="2"/>
          </rPr>
          <t xml:space="preserve">Der Faktor ist von der Herkunft des kf-Wertes abhängig. 
Feldversuch: 2 (entspricht  Wert 1 lt. ÖNORM B 2506-1 unter Berücksichtigung, dass kfu = kf/2)
Bodenansprache: 1,0 (lt. DWA A 138)
Sieblinie: 0,2  (entspricht  Wert 0,1 lt. ÖNORM B 2506-1 unter Berücksichtigung, dass kfu = kf/2)
</t>
        </r>
      </text>
    </comment>
    <comment ref="J58" authorId="0" shapeId="0" xr:uid="{00000000-0006-0000-0200-000009000000}">
      <text>
        <r>
          <rPr>
            <b/>
            <sz val="9"/>
            <color indexed="81"/>
            <rFont val="Tahoma"/>
            <family val="2"/>
          </rPr>
          <t xml:space="preserve">HINWEIS
</t>
        </r>
        <r>
          <rPr>
            <sz val="9"/>
            <color indexed="81"/>
            <rFont val="Tahoma"/>
            <family val="2"/>
          </rPr>
          <t xml:space="preserve">Fläche muss gleich oder größer als Sickerschachtsohle sein.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Zraunig</author>
  </authors>
  <commentList>
    <comment ref="A80" authorId="0" shapeId="0" xr:uid="{00000000-0006-0000-0300-000001000000}">
      <text>
        <r>
          <rPr>
            <b/>
            <sz val="9"/>
            <color indexed="81"/>
            <rFont val="Tahoma"/>
            <family val="2"/>
          </rPr>
          <t xml:space="preserve">Hinweistext
</t>
        </r>
        <r>
          <rPr>
            <sz val="9"/>
            <color indexed="81"/>
            <rFont val="Tahoma"/>
            <family val="2"/>
          </rPr>
          <t>als Kommentar</t>
        </r>
        <r>
          <rPr>
            <b/>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Zraunig</author>
    <author>Birgit (WaWi)</author>
  </authors>
  <commentList>
    <comment ref="B10" authorId="0" shapeId="0" xr:uid="{00000000-0006-0000-0600-000001000000}">
      <text>
        <r>
          <rPr>
            <b/>
            <sz val="9"/>
            <color indexed="81"/>
            <rFont val="Tahoma"/>
            <family val="2"/>
          </rPr>
          <t xml:space="preserve">Art der Entwäserungsfläche
</t>
        </r>
        <r>
          <rPr>
            <sz val="9"/>
            <color indexed="81"/>
            <rFont val="Tahoma"/>
            <family val="2"/>
          </rPr>
          <t xml:space="preserve">- hartgedeckte Dächer
- Extensiv begrünte Dächer
- Intensiv begrünte Dächer
- befestigte (z.B. asphaltierte) Höfe     
  undWege
- Kieswege (verdichtet)
- Grünflächen &amp; Rasengittersteine
</t>
        </r>
      </text>
    </comment>
    <comment ref="D10" authorId="0" shapeId="0" xr:uid="{00000000-0006-0000-0600-000002000000}">
      <text>
        <r>
          <rPr>
            <b/>
            <sz val="9"/>
            <color indexed="81"/>
            <rFont val="Tahoma"/>
            <family val="2"/>
          </rPr>
          <t xml:space="preserve">Abflussbeiwerte an
</t>
        </r>
        <r>
          <rPr>
            <sz val="9"/>
            <color indexed="81"/>
            <rFont val="Tahoma"/>
            <family val="2"/>
          </rPr>
          <t xml:space="preserve">hartgedeckte Dächer   -   1,0
Extensiv begrünte Dächer   -   0,5
Intensiv begrünte Dächer    -   0,3
befestigte (z.B. asphaltierte) Höfe und Wege   -   0,8 bis 1,0
Kieswege (verdichtet)   -   0,6 bis 0,8
Grünflächen &amp; Rasengittersteine   -   &lt; 0,5
</t>
        </r>
      </text>
    </comment>
    <comment ref="B11" authorId="0" shapeId="0" xr:uid="{00000000-0006-0000-0600-000003000000}">
      <text>
        <r>
          <rPr>
            <b/>
            <sz val="9"/>
            <color indexed="81"/>
            <rFont val="Tahoma"/>
            <family val="2"/>
          </rPr>
          <t xml:space="preserve">HINWEIS
</t>
        </r>
        <r>
          <rPr>
            <sz val="9"/>
            <color indexed="81"/>
            <rFont val="Tahoma"/>
            <family val="2"/>
          </rPr>
          <t xml:space="preserve">alle Grünflächen abzüglich As;
Randbereiche der Anlage bitte hier berücksichtigen;
 Eingabe immer erforderlich.
</t>
        </r>
      </text>
    </comment>
    <comment ref="E23" authorId="0" shapeId="0" xr:uid="{00000000-0006-0000-0600-000004000000}">
      <text>
        <r>
          <rPr>
            <b/>
            <sz val="9"/>
            <color indexed="81"/>
            <rFont val="Tahoma"/>
            <family val="2"/>
          </rPr>
          <t xml:space="preserve">HINWEIS
</t>
        </r>
        <r>
          <rPr>
            <sz val="9"/>
            <color indexed="81"/>
            <rFont val="Tahoma"/>
            <family val="2"/>
          </rPr>
          <t>Entwurf ÖWAV-RB 45 empfiehlt für die Berechnung 1*10E-5 m/s. ÖNORM B 2506-2, ÖWAV-RB 35 und RVS empfehlen Durchlässigkeit von 1*10E-4 bis 1*10E-5 m/s.</t>
        </r>
      </text>
    </comment>
    <comment ref="E24" authorId="0" shapeId="0" xr:uid="{00000000-0006-0000-0600-000005000000}">
      <text>
        <r>
          <rPr>
            <b/>
            <sz val="9"/>
            <color indexed="81"/>
            <rFont val="Tahoma"/>
            <family val="2"/>
          </rPr>
          <t xml:space="preserve">HINWEIS
</t>
        </r>
        <r>
          <rPr>
            <sz val="9"/>
            <color indexed="81"/>
            <rFont val="Tahoma"/>
            <family val="2"/>
          </rPr>
          <t>Wird Sickerfähigkeit des Bodenfilters von 1*10E-5 m/s überschritten (z.B. 1*10E-4 m/s), wird Zuschlagsfaktor nach DWA A 138 von 1,1 bis 1,2 empfohlen.</t>
        </r>
      </text>
    </comment>
    <comment ref="E25" authorId="0" shapeId="0" xr:uid="{00000000-0006-0000-0600-000006000000}">
      <text>
        <r>
          <rPr>
            <b/>
            <sz val="9"/>
            <color indexed="81"/>
            <rFont val="Tahoma"/>
            <family val="2"/>
          </rPr>
          <t xml:space="preserve">HINWEIS
bei Sickermulde …. 1,0
bei Sickerbecken
</t>
        </r>
        <r>
          <rPr>
            <sz val="9"/>
            <color indexed="81"/>
            <rFont val="Tahoma"/>
            <family val="2"/>
          </rPr>
          <t xml:space="preserve">mit Absetzbecken ……   1,0
ohne Absetzbecken .. ..0,5 für Sohlfläche und Böschungen (lt. ÖNORM B 2506-1)
ohne Absetzbecken .....0,2 für Sohlfläche (lt. DWA A 138) </t>
        </r>
        <r>
          <rPr>
            <b/>
            <sz val="9"/>
            <color indexed="81"/>
            <rFont val="Tahoma"/>
            <family val="2"/>
          </rPr>
          <t xml:space="preserve">
</t>
        </r>
        <r>
          <rPr>
            <sz val="9"/>
            <color indexed="81"/>
            <rFont val="Tahoma"/>
            <family val="2"/>
          </rPr>
          <t xml:space="preserve">
</t>
        </r>
      </text>
    </comment>
    <comment ref="C34" authorId="1" shapeId="0" xr:uid="{00000000-0006-0000-0600-000007000000}">
      <text>
        <r>
          <rPr>
            <sz val="9"/>
            <color indexed="81"/>
            <rFont val="Tahoma"/>
            <family val="2"/>
          </rPr>
          <t>Daten aus ehyd-Datenbank</t>
        </r>
      </text>
    </comment>
    <comment ref="D34" authorId="1" shapeId="0" xr:uid="{00000000-0006-0000-0600-000008000000}">
      <text>
        <r>
          <rPr>
            <b/>
            <sz val="9"/>
            <color indexed="81"/>
            <rFont val="Tahoma"/>
            <family val="2"/>
          </rPr>
          <t xml:space="preserve">Speichervolumen =
</t>
        </r>
        <r>
          <rPr>
            <sz val="9"/>
            <color indexed="81"/>
            <rFont val="Tahoma"/>
            <family val="2"/>
          </rPr>
          <t xml:space="preserve"> (Versickerungsrate * abflusswirksame Gesamtfläche) / 1.000</t>
        </r>
      </text>
    </comment>
    <comment ref="E34" authorId="1" shapeId="0" xr:uid="{00000000-0006-0000-0600-000009000000}">
      <text>
        <r>
          <rPr>
            <sz val="9"/>
            <color indexed="81"/>
            <rFont val="Tahoma"/>
            <family val="2"/>
          </rPr>
          <t>Daten aus ehyd-Datenbank</t>
        </r>
      </text>
    </comment>
    <comment ref="F34" authorId="1" shapeId="0" xr:uid="{00000000-0006-0000-0600-00000A000000}">
      <text>
        <r>
          <rPr>
            <b/>
            <sz val="9"/>
            <color indexed="81"/>
            <rFont val="Tahoma"/>
            <family val="2"/>
          </rPr>
          <t xml:space="preserve">Speichervolumen =
</t>
        </r>
        <r>
          <rPr>
            <sz val="9"/>
            <color indexed="81"/>
            <rFont val="Tahoma"/>
            <family val="2"/>
          </rPr>
          <t xml:space="preserve"> (Versickerungsrate * abflusswirksame Gesamtfläche) / 1.000</t>
        </r>
      </text>
    </comment>
    <comment ref="G34" authorId="1" shapeId="0" xr:uid="{00000000-0006-0000-0600-00000B000000}">
      <text>
        <r>
          <rPr>
            <sz val="9"/>
            <color indexed="81"/>
            <rFont val="Tahoma"/>
            <family val="2"/>
          </rPr>
          <t>Daten aus ehyd-Datenban</t>
        </r>
        <r>
          <rPr>
            <b/>
            <sz val="9"/>
            <color indexed="81"/>
            <rFont val="Tahoma"/>
            <family val="2"/>
          </rPr>
          <t>k</t>
        </r>
      </text>
    </comment>
    <comment ref="H34" authorId="1" shapeId="0" xr:uid="{00000000-0006-0000-0600-00000C000000}">
      <text>
        <r>
          <rPr>
            <b/>
            <sz val="9"/>
            <color indexed="81"/>
            <rFont val="Tahoma"/>
            <family val="2"/>
          </rPr>
          <t xml:space="preserve">Speichervolumen =
</t>
        </r>
        <r>
          <rPr>
            <sz val="9"/>
            <color indexed="81"/>
            <rFont val="Tahoma"/>
            <family val="2"/>
          </rPr>
          <t xml:space="preserve"> (Versickerungsrate * abflusswirksame Gesamtfläche) / 1.000</t>
        </r>
      </text>
    </comment>
    <comment ref="C61" authorId="0" shapeId="0" xr:uid="{00000000-0006-0000-0600-00000D000000}">
      <text>
        <r>
          <rPr>
            <b/>
            <sz val="9"/>
            <color indexed="81"/>
            <rFont val="Tahoma"/>
            <family val="2"/>
          </rPr>
          <t>Hinweis:</t>
        </r>
        <r>
          <rPr>
            <sz val="9"/>
            <color indexed="81"/>
            <rFont val="Tahoma"/>
            <family val="2"/>
          </rPr>
          <t xml:space="preserve">
Maximum von Vs bei Jährlichkeit A</t>
        </r>
      </text>
    </comment>
    <comment ref="E61" authorId="0" shapeId="0" xr:uid="{00000000-0006-0000-0600-00000E000000}">
      <text>
        <r>
          <rPr>
            <b/>
            <sz val="9"/>
            <color indexed="81"/>
            <rFont val="Tahoma"/>
            <family val="2"/>
          </rPr>
          <t xml:space="preserve">Hinweis:
</t>
        </r>
        <r>
          <rPr>
            <sz val="9"/>
            <color indexed="81"/>
            <rFont val="Tahoma"/>
            <family val="2"/>
          </rPr>
          <t xml:space="preserve">Maximum von Vs bei Jährlichkeit B
</t>
        </r>
      </text>
    </comment>
    <comment ref="G61" authorId="0" shapeId="0" xr:uid="{00000000-0006-0000-0600-00000F000000}">
      <text>
        <r>
          <rPr>
            <b/>
            <sz val="9"/>
            <color indexed="81"/>
            <rFont val="Tahoma"/>
            <family val="2"/>
          </rPr>
          <t xml:space="preserve">Hinweis:
</t>
        </r>
        <r>
          <rPr>
            <sz val="9"/>
            <color indexed="81"/>
            <rFont val="Tahoma"/>
            <family val="2"/>
          </rPr>
          <t>Maximum von Vs bei Jährlichkeit C</t>
        </r>
      </text>
    </comment>
    <comment ref="C64" authorId="0" shapeId="0" xr:uid="{00000000-0006-0000-0600-000010000000}">
      <text>
        <r>
          <rPr>
            <b/>
            <sz val="9"/>
            <color indexed="81"/>
            <rFont val="Tahoma"/>
            <family val="2"/>
          </rPr>
          <t>Formel:</t>
        </r>
        <r>
          <rPr>
            <sz val="9"/>
            <color indexed="81"/>
            <rFont val="Tahoma"/>
            <family val="2"/>
          </rPr>
          <t xml:space="preserve">
As * kf * fz * 1.000</t>
        </r>
      </text>
    </comment>
    <comment ref="C65" authorId="0" shapeId="0" xr:uid="{00000000-0006-0000-0600-000011000000}">
      <text>
        <r>
          <rPr>
            <b/>
            <sz val="9"/>
            <color indexed="81"/>
            <rFont val="Tahoma"/>
            <family val="2"/>
          </rPr>
          <t xml:space="preserve">Formel:
</t>
        </r>
        <r>
          <rPr>
            <sz val="9"/>
            <color indexed="81"/>
            <rFont val="Tahoma"/>
            <family val="2"/>
          </rPr>
          <t>Sickermenge bezogen auf As und kf * 3,6 *24</t>
        </r>
      </text>
    </comment>
    <comment ref="C66" authorId="0" shapeId="0" xr:uid="{00000000-0006-0000-0600-000012000000}">
      <text>
        <r>
          <rPr>
            <b/>
            <sz val="9"/>
            <color indexed="81"/>
            <rFont val="Tahoma"/>
            <family val="2"/>
          </rPr>
          <t>Formel:</t>
        </r>
        <r>
          <rPr>
            <sz val="9"/>
            <color indexed="81"/>
            <rFont val="Tahoma"/>
            <family val="2"/>
          </rPr>
          <t xml:space="preserve">
Tagesniederschlag * Gesamteinzugsfläche / 1.000
Die geringere Menge kann für die Berechnung der Tagesfrachten herangezogen werden.</t>
        </r>
      </text>
    </comment>
    <comment ref="C67" authorId="0" shapeId="0" xr:uid="{00000000-0006-0000-0600-000013000000}">
      <text>
        <r>
          <rPr>
            <b/>
            <sz val="9"/>
            <color indexed="81"/>
            <rFont val="Tahoma"/>
            <family val="2"/>
          </rPr>
          <t xml:space="preserve">WICHTIG
</t>
        </r>
        <r>
          <rPr>
            <sz val="9"/>
            <color indexed="81"/>
            <rFont val="Tahoma"/>
            <family val="2"/>
          </rPr>
          <t xml:space="preserve">max. 24 Stunden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Zraunig</author>
    <author>Edwin Gfrerer</author>
    <author>Birgit (WaWi)</author>
  </authors>
  <commentList>
    <comment ref="B11" authorId="0" shapeId="0" xr:uid="{00000000-0006-0000-0700-000001000000}">
      <text>
        <r>
          <rPr>
            <b/>
            <sz val="9"/>
            <color indexed="81"/>
            <rFont val="Tahoma"/>
            <family val="2"/>
          </rPr>
          <t xml:space="preserve">Art der Entwäserungsfläche
</t>
        </r>
        <r>
          <rPr>
            <sz val="9"/>
            <color indexed="81"/>
            <rFont val="Tahoma"/>
            <family val="2"/>
          </rPr>
          <t xml:space="preserve">- hartgedeckte Dächer
- Extensiv begrünte Dächer
- Intensiv begrünte Dächer
- befestigte (z.B. asphaltierte) Höfe     
  undWege
- Kieswege (verdichtet)
- Grünflächen &amp; Rasengittersteine
</t>
        </r>
      </text>
    </comment>
    <comment ref="D11" authorId="0" shapeId="0" xr:uid="{00000000-0006-0000-0700-000002000000}">
      <text>
        <r>
          <rPr>
            <b/>
            <sz val="9"/>
            <color indexed="81"/>
            <rFont val="Tahoma"/>
            <family val="2"/>
          </rPr>
          <t xml:space="preserve">Abflussbeiwerte an
</t>
        </r>
        <r>
          <rPr>
            <sz val="9"/>
            <color indexed="81"/>
            <rFont val="Tahoma"/>
            <family val="2"/>
          </rPr>
          <t xml:space="preserve">hartgedeckte Dächer   -   1,0
Extensiv begrünte Dächer   -   0,5
Intensiv begrünte Dächer    -   0,3
befestigte (z.B. asphaltierte) Höfe und Wege   -   0,8 bis 1,0
Kieswege (verdichtet)   -   0,6 bis 0,8
Grünflächen &amp; Rasengittersteine   -   &lt; 0,5
</t>
        </r>
      </text>
    </comment>
    <comment ref="G20" authorId="0" shapeId="0" xr:uid="{00000000-0006-0000-0700-000003000000}">
      <text>
        <r>
          <rPr>
            <b/>
            <sz val="9"/>
            <color indexed="81"/>
            <rFont val="Tahoma"/>
            <family val="2"/>
          </rPr>
          <t xml:space="preserve">Hinweis
</t>
        </r>
        <r>
          <rPr>
            <sz val="9"/>
            <color indexed="81"/>
            <rFont val="Tahoma"/>
            <family val="2"/>
          </rPr>
          <t xml:space="preserve">mit Vorfilterung ....1,0 (ÖNORM)
ohne Vorfilterung ....0,5 (ÖNORM)
</t>
        </r>
      </text>
    </comment>
    <comment ref="G23" authorId="0" shapeId="0" xr:uid="{00000000-0006-0000-0700-000004000000}">
      <text>
        <r>
          <rPr>
            <b/>
            <sz val="9"/>
            <color indexed="81"/>
            <rFont val="Tahoma"/>
            <family val="2"/>
          </rPr>
          <t xml:space="preserve">Hinweis
</t>
        </r>
        <r>
          <rPr>
            <sz val="9"/>
            <color indexed="81"/>
            <rFont val="Tahoma"/>
            <family val="2"/>
          </rPr>
          <t xml:space="preserve">Der Faktor ist von der Herkunft des kf-Wertes abhängig. 
</t>
        </r>
        <r>
          <rPr>
            <b/>
            <sz val="9"/>
            <color indexed="81"/>
            <rFont val="Tahoma"/>
            <family val="2"/>
          </rPr>
          <t xml:space="preserve">Feldversuch: </t>
        </r>
        <r>
          <rPr>
            <sz val="9"/>
            <color indexed="81"/>
            <rFont val="Tahoma"/>
            <family val="2"/>
          </rPr>
          <t xml:space="preserve">2 (entspricht  Wert 1 lt. ÖNORM B 2506-1 unter Berücksichtigung, dass kfu = kf/2)
</t>
        </r>
        <r>
          <rPr>
            <b/>
            <sz val="9"/>
            <color indexed="81"/>
            <rFont val="Tahoma"/>
            <family val="2"/>
          </rPr>
          <t>Bodenansprache:</t>
        </r>
        <r>
          <rPr>
            <sz val="9"/>
            <color indexed="81"/>
            <rFont val="Tahoma"/>
            <family val="2"/>
          </rPr>
          <t xml:space="preserve"> 1,0 (lt. DWA A 138)</t>
        </r>
        <r>
          <rPr>
            <b/>
            <sz val="9"/>
            <color indexed="81"/>
            <rFont val="Tahoma"/>
            <family val="2"/>
          </rPr>
          <t xml:space="preserve">
Sieblinie:</t>
        </r>
        <r>
          <rPr>
            <sz val="9"/>
            <color indexed="81"/>
            <rFont val="Tahoma"/>
            <family val="2"/>
          </rPr>
          <t xml:space="preserve"> 0,2  (entspricht  Wert 0,1 lt. ÖNORM B 2506-1 unter Berücksichtigung, dass kfu = kf/2)
</t>
        </r>
      </text>
    </comment>
    <comment ref="G25" authorId="0" shapeId="0" xr:uid="{00000000-0006-0000-0700-000005000000}">
      <text>
        <r>
          <rPr>
            <b/>
            <sz val="9"/>
            <color indexed="81"/>
            <rFont val="Tahoma"/>
            <family val="2"/>
          </rPr>
          <t xml:space="preserve">Hinweis
</t>
        </r>
        <r>
          <rPr>
            <sz val="9"/>
            <color indexed="81"/>
            <rFont val="Tahoma"/>
            <family val="2"/>
          </rPr>
          <t xml:space="preserve">Bei Brunnenabsenkverfahren mit "Schneidering" Wert auf 0 setzen.
</t>
        </r>
      </text>
    </comment>
    <comment ref="G27" authorId="0" shapeId="0" xr:uid="{00000000-0006-0000-0700-000006000000}">
      <text>
        <r>
          <rPr>
            <b/>
            <sz val="9"/>
            <color indexed="81"/>
            <rFont val="Tahoma"/>
            <family val="2"/>
          </rPr>
          <t xml:space="preserve">HINWEIS
</t>
        </r>
        <r>
          <rPr>
            <sz val="9"/>
            <color indexed="81"/>
            <rFont val="Tahoma"/>
            <family val="2"/>
          </rPr>
          <t xml:space="preserve">Porenspeichervolumen sollte zwischen 15 % und 30 % liegen.
</t>
        </r>
      </text>
    </comment>
    <comment ref="G29" authorId="0" shapeId="0" xr:uid="{00000000-0006-0000-0700-000007000000}">
      <text>
        <r>
          <rPr>
            <sz val="9"/>
            <color indexed="81"/>
            <rFont val="Tahoma"/>
            <family val="2"/>
          </rPr>
          <t>Fläche muss gleich oder größer als Sickerschachtsohle sein.</t>
        </r>
      </text>
    </comment>
    <comment ref="C34" authorId="1" shapeId="0" xr:uid="{00000000-0006-0000-0700-000008000000}">
      <text>
        <r>
          <rPr>
            <sz val="9"/>
            <color indexed="81"/>
            <rFont val="Tahoma"/>
            <family val="2"/>
          </rPr>
          <t>Daten aus ehyd-Datenbank</t>
        </r>
      </text>
    </comment>
    <comment ref="E34" authorId="0" shapeId="0" xr:uid="{00000000-0006-0000-0700-000009000000}">
      <text>
        <r>
          <rPr>
            <b/>
            <sz val="9"/>
            <color indexed="81"/>
            <rFont val="Tahoma"/>
            <family val="2"/>
          </rPr>
          <t>Speichervolumen =</t>
        </r>
        <r>
          <rPr>
            <sz val="9"/>
            <color indexed="81"/>
            <rFont val="Tahoma"/>
            <family val="2"/>
          </rPr>
          <t xml:space="preserve">
 (Versickerungsrate * abflusswirksame Gesamtfläche) / 1.000
</t>
        </r>
      </text>
    </comment>
    <comment ref="G34" authorId="2" shapeId="0" xr:uid="{00000000-0006-0000-0700-00000A000000}">
      <text>
        <r>
          <rPr>
            <b/>
            <sz val="9"/>
            <color indexed="81"/>
            <rFont val="Tahoma"/>
            <family val="2"/>
          </rPr>
          <t xml:space="preserve">Speichervolumen =
</t>
        </r>
        <r>
          <rPr>
            <sz val="9"/>
            <color indexed="81"/>
            <rFont val="Tahoma"/>
            <family val="2"/>
          </rPr>
          <t xml:space="preserve"> (Versickerungsrate * abflusswirksame Gesamtfläche) / 1.000</t>
        </r>
      </text>
    </comment>
    <comment ref="E67" authorId="0" shapeId="0" xr:uid="{00000000-0006-0000-0700-00000B000000}">
      <text>
        <r>
          <rPr>
            <b/>
            <sz val="9"/>
            <color indexed="81"/>
            <rFont val="Tahoma"/>
            <family val="2"/>
          </rPr>
          <t xml:space="preserve">Formel:
</t>
        </r>
        <r>
          <rPr>
            <sz val="9"/>
            <color indexed="81"/>
            <rFont val="Tahoma"/>
            <family val="2"/>
          </rPr>
          <t>Fläche Sickerschacht * kf1 * Sicherheitsbeiwert * 1000</t>
        </r>
      </text>
    </comment>
    <comment ref="G67" authorId="2" shapeId="0" xr:uid="{00000000-0006-0000-0700-00000C000000}">
      <text>
        <r>
          <rPr>
            <b/>
            <sz val="9"/>
            <color indexed="81"/>
            <rFont val="Tahoma"/>
            <family val="2"/>
          </rPr>
          <t>Formel:</t>
        </r>
        <r>
          <rPr>
            <sz val="9"/>
            <color indexed="81"/>
            <rFont val="Tahoma"/>
            <family val="2"/>
          </rPr>
          <t xml:space="preserve">
Fläche Baugrube As * kf2 * Faktor für Sickerfähigkeit anstehender Untergrund * 1.000
</t>
        </r>
      </text>
    </comment>
    <comment ref="E68" authorId="2" shapeId="0" xr:uid="{00000000-0006-0000-0700-00000D000000}">
      <text>
        <r>
          <rPr>
            <sz val="9"/>
            <color indexed="81"/>
            <rFont val="Tahoma"/>
            <family val="2"/>
          </rPr>
          <t>maximale Sickerleistung bei permanetem Einstau</t>
        </r>
      </text>
    </comment>
    <comment ref="G68" authorId="2" shapeId="0" xr:uid="{00000000-0006-0000-0700-00000E000000}">
      <text>
        <r>
          <rPr>
            <sz val="9"/>
            <color indexed="81"/>
            <rFont val="Tahoma"/>
            <family val="2"/>
          </rPr>
          <t>maximale Sickerleistung bei permanetem Einstau</t>
        </r>
      </text>
    </comment>
    <comment ref="E69" authorId="0" shapeId="0" xr:uid="{00000000-0006-0000-0700-00000F000000}">
      <text>
        <r>
          <rPr>
            <sz val="9"/>
            <color indexed="81"/>
            <rFont val="Tahoma"/>
            <family val="2"/>
          </rPr>
          <t xml:space="preserve">Für die Tagesmengenberechnung ist die geringere Sickermenge maßgebend.
</t>
        </r>
      </text>
    </comment>
    <comment ref="E70" authorId="1" shapeId="0" xr:uid="{00000000-0006-0000-0700-000010000000}">
      <text>
        <r>
          <rPr>
            <b/>
            <sz val="9"/>
            <color indexed="81"/>
            <rFont val="Tahoma"/>
            <family val="2"/>
          </rPr>
          <t xml:space="preserve">Formel:
</t>
        </r>
        <r>
          <rPr>
            <sz val="9"/>
            <color indexed="81"/>
            <rFont val="Tahoma"/>
            <family val="2"/>
          </rPr>
          <t xml:space="preserve"> = Tagesniederschlagshöhe * Gesamteinzugsfläche /1.000</t>
        </r>
        <r>
          <rPr>
            <sz val="9"/>
            <color indexed="81"/>
            <rFont val="Tahoma"/>
            <family val="2"/>
          </rPr>
          <t xml:space="preserve">
Die geringere Menge kann für die Berechnung der Tagesfrachten herangezogen werden.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Zraunig</author>
    <author>Edwin Gfrerer</author>
    <author>Birgit (WaWi)</author>
  </authors>
  <commentList>
    <comment ref="B11" authorId="0" shapeId="0" xr:uid="{00000000-0006-0000-0800-000001000000}">
      <text>
        <r>
          <rPr>
            <b/>
            <sz val="9"/>
            <color indexed="81"/>
            <rFont val="Tahoma"/>
            <family val="2"/>
          </rPr>
          <t xml:space="preserve">Art der Entwäserungsfläche
</t>
        </r>
        <r>
          <rPr>
            <sz val="9"/>
            <color indexed="81"/>
            <rFont val="Tahoma"/>
            <family val="2"/>
          </rPr>
          <t xml:space="preserve">- hartgedeckte Dächer
- Extensiv begrünte Dächer
- Intensiv begrünte Dächer
- befestigte (z.B. asphaltierte) Höfe     
  undWege
- Kieswege (verdichtet)
- Grünflächen &amp; Rasengittersteine
</t>
        </r>
      </text>
    </comment>
    <comment ref="D11" authorId="0" shapeId="0" xr:uid="{00000000-0006-0000-0800-000002000000}">
      <text>
        <r>
          <rPr>
            <b/>
            <sz val="9"/>
            <color indexed="81"/>
            <rFont val="Tahoma"/>
            <family val="2"/>
          </rPr>
          <t xml:space="preserve">Abflussbeiwerte an
</t>
        </r>
        <r>
          <rPr>
            <sz val="9"/>
            <color indexed="81"/>
            <rFont val="Tahoma"/>
            <family val="2"/>
          </rPr>
          <t xml:space="preserve">hartgedeckte Dächer   -   1,0
Extensiv begrünte Dächer   -   0,5
Intensiv begrünte Dächer    -   0,3
befestigte (z.B. asphaltierte) Höfe und Wege   -   0,8 bis 1,0
Kieswege (verdichtet)   -   0,6 bis 0,8
Grünflächen &amp; Rasengittersteine   -   &lt; 0,5
</t>
        </r>
      </text>
    </comment>
    <comment ref="G20" authorId="0" shapeId="0" xr:uid="{00000000-0006-0000-0800-000003000000}">
      <text>
        <r>
          <rPr>
            <b/>
            <sz val="9"/>
            <color indexed="81"/>
            <rFont val="Tahoma"/>
            <family val="2"/>
          </rPr>
          <t xml:space="preserve">Hinweis
</t>
        </r>
        <r>
          <rPr>
            <sz val="9"/>
            <color indexed="81"/>
            <rFont val="Tahoma"/>
            <family val="2"/>
          </rPr>
          <t xml:space="preserve">mit Vorfilterung ....1,0 (ÖNORM)
ohne Vorfilterung ....0,5 (ÖNORM)
</t>
        </r>
      </text>
    </comment>
    <comment ref="G23" authorId="0" shapeId="0" xr:uid="{00000000-0006-0000-0800-000004000000}">
      <text>
        <r>
          <rPr>
            <b/>
            <sz val="9"/>
            <color indexed="81"/>
            <rFont val="Tahoma"/>
            <family val="2"/>
          </rPr>
          <t xml:space="preserve">Hinweis
</t>
        </r>
        <r>
          <rPr>
            <sz val="9"/>
            <color indexed="81"/>
            <rFont val="Tahoma"/>
            <family val="2"/>
          </rPr>
          <t xml:space="preserve">Der Faktor ist von der Herkunft des kf-Wertes abhängig. 
</t>
        </r>
        <r>
          <rPr>
            <b/>
            <sz val="9"/>
            <color indexed="81"/>
            <rFont val="Tahoma"/>
            <family val="2"/>
          </rPr>
          <t xml:space="preserve">Feldversuch: </t>
        </r>
        <r>
          <rPr>
            <sz val="9"/>
            <color indexed="81"/>
            <rFont val="Tahoma"/>
            <family val="2"/>
          </rPr>
          <t xml:space="preserve">2 (entspricht  Wert 1 lt. ÖNORM B 2506-1 unter Berücksichtigung, dass kfu = kf/2)
</t>
        </r>
        <r>
          <rPr>
            <b/>
            <sz val="9"/>
            <color indexed="81"/>
            <rFont val="Tahoma"/>
            <family val="2"/>
          </rPr>
          <t>Bodenansprache:</t>
        </r>
        <r>
          <rPr>
            <sz val="9"/>
            <color indexed="81"/>
            <rFont val="Tahoma"/>
            <family val="2"/>
          </rPr>
          <t xml:space="preserve"> 1,0 (lt. DWA A 138)</t>
        </r>
        <r>
          <rPr>
            <b/>
            <sz val="9"/>
            <color indexed="81"/>
            <rFont val="Tahoma"/>
            <family val="2"/>
          </rPr>
          <t xml:space="preserve">
Sieblinie:</t>
        </r>
        <r>
          <rPr>
            <sz val="9"/>
            <color indexed="81"/>
            <rFont val="Tahoma"/>
            <family val="2"/>
          </rPr>
          <t xml:space="preserve"> 0,2  (entspricht  Wert 0,1 lt. ÖNORM B 2506-1 unter Berücksichtigung, dass kfu = kf/2)
</t>
        </r>
      </text>
    </comment>
    <comment ref="G25" authorId="0" shapeId="0" xr:uid="{00000000-0006-0000-0800-000005000000}">
      <text>
        <r>
          <rPr>
            <b/>
            <sz val="9"/>
            <color indexed="81"/>
            <rFont val="Tahoma"/>
            <family val="2"/>
          </rPr>
          <t xml:space="preserve">Hinweis
</t>
        </r>
        <r>
          <rPr>
            <sz val="9"/>
            <color indexed="81"/>
            <rFont val="Tahoma"/>
            <family val="2"/>
          </rPr>
          <t xml:space="preserve">Bei Brunnenabsenkverfahren mit "Schneidering" Wert auf 0 setzen.
</t>
        </r>
      </text>
    </comment>
    <comment ref="G27" authorId="0" shapeId="0" xr:uid="{00000000-0006-0000-0800-000006000000}">
      <text>
        <r>
          <rPr>
            <b/>
            <sz val="9"/>
            <color indexed="81"/>
            <rFont val="Tahoma"/>
            <family val="2"/>
          </rPr>
          <t xml:space="preserve">HINWEIS
</t>
        </r>
        <r>
          <rPr>
            <sz val="9"/>
            <color indexed="81"/>
            <rFont val="Tahoma"/>
            <family val="2"/>
          </rPr>
          <t xml:space="preserve">Porenspeichervolumen sollte zwischen 15 % und 30 % liegen.
</t>
        </r>
      </text>
    </comment>
    <comment ref="G29" authorId="0" shapeId="0" xr:uid="{00000000-0006-0000-0800-000007000000}">
      <text>
        <r>
          <rPr>
            <sz val="9"/>
            <color indexed="81"/>
            <rFont val="Tahoma"/>
            <family val="2"/>
          </rPr>
          <t>Fläche muss gleich oder größer als Sickerschachtsohle sein.</t>
        </r>
      </text>
    </comment>
    <comment ref="C34" authorId="1" shapeId="0" xr:uid="{00000000-0006-0000-0800-000008000000}">
      <text>
        <r>
          <rPr>
            <sz val="9"/>
            <color indexed="81"/>
            <rFont val="Tahoma"/>
            <family val="2"/>
          </rPr>
          <t>Daten aus ehyd-Datenbank</t>
        </r>
      </text>
    </comment>
    <comment ref="E34" authorId="0" shapeId="0" xr:uid="{00000000-0006-0000-0800-000009000000}">
      <text>
        <r>
          <rPr>
            <b/>
            <sz val="9"/>
            <color indexed="81"/>
            <rFont val="Tahoma"/>
            <family val="2"/>
          </rPr>
          <t>Speichervolumen =</t>
        </r>
        <r>
          <rPr>
            <sz val="9"/>
            <color indexed="81"/>
            <rFont val="Tahoma"/>
            <family val="2"/>
          </rPr>
          <t xml:space="preserve">
 (Versickerungsrate * abflusswirksame Gesamtfläche) / 1.000
</t>
        </r>
      </text>
    </comment>
    <comment ref="G34" authorId="2" shapeId="0" xr:uid="{00000000-0006-0000-0800-00000A000000}">
      <text>
        <r>
          <rPr>
            <b/>
            <sz val="9"/>
            <color indexed="81"/>
            <rFont val="Tahoma"/>
            <family val="2"/>
          </rPr>
          <t xml:space="preserve">Speichervolumen =
</t>
        </r>
        <r>
          <rPr>
            <sz val="9"/>
            <color indexed="81"/>
            <rFont val="Tahoma"/>
            <family val="2"/>
          </rPr>
          <t xml:space="preserve"> (Versickerungsrate * abflusswirksame Gesamtfläche) / 1.000</t>
        </r>
      </text>
    </comment>
    <comment ref="E67" authorId="0" shapeId="0" xr:uid="{00000000-0006-0000-0800-00000B000000}">
      <text>
        <r>
          <rPr>
            <b/>
            <sz val="9"/>
            <color indexed="81"/>
            <rFont val="Tahoma"/>
            <family val="2"/>
          </rPr>
          <t xml:space="preserve">Formel:
</t>
        </r>
        <r>
          <rPr>
            <sz val="9"/>
            <color indexed="81"/>
            <rFont val="Tahoma"/>
            <family val="2"/>
          </rPr>
          <t>Fläche Sickerschacht * kf1 * Sicherheitsbeiwert * 1000</t>
        </r>
      </text>
    </comment>
    <comment ref="G67" authorId="2" shapeId="0" xr:uid="{00000000-0006-0000-0800-00000C000000}">
      <text>
        <r>
          <rPr>
            <b/>
            <sz val="9"/>
            <color indexed="81"/>
            <rFont val="Tahoma"/>
            <family val="2"/>
          </rPr>
          <t>Formel:</t>
        </r>
        <r>
          <rPr>
            <sz val="9"/>
            <color indexed="81"/>
            <rFont val="Tahoma"/>
            <family val="2"/>
          </rPr>
          <t xml:space="preserve">
Fläche Baugrube As * kf2 * Faktor für Sickerfähigkeit anstehender Untergrund * 1.000
</t>
        </r>
      </text>
    </comment>
    <comment ref="E68" authorId="2" shapeId="0" xr:uid="{00000000-0006-0000-0800-00000D000000}">
      <text>
        <r>
          <rPr>
            <sz val="9"/>
            <color indexed="81"/>
            <rFont val="Tahoma"/>
            <family val="2"/>
          </rPr>
          <t>maximale Sickerleistung bei permanetem Einstau</t>
        </r>
      </text>
    </comment>
    <comment ref="G68" authorId="2" shapeId="0" xr:uid="{00000000-0006-0000-0800-00000E000000}">
      <text>
        <r>
          <rPr>
            <sz val="9"/>
            <color indexed="81"/>
            <rFont val="Tahoma"/>
            <family val="2"/>
          </rPr>
          <t>maximale Sickerleistung bei permanetem Einstau</t>
        </r>
      </text>
    </comment>
    <comment ref="E69" authorId="0" shapeId="0" xr:uid="{00000000-0006-0000-0800-00000F000000}">
      <text>
        <r>
          <rPr>
            <sz val="9"/>
            <color indexed="81"/>
            <rFont val="Tahoma"/>
            <family val="2"/>
          </rPr>
          <t xml:space="preserve">Für die Tagesmengenberechnung ist die geringere Sickermenge maßgebend.
</t>
        </r>
      </text>
    </comment>
    <comment ref="E70" authorId="1" shapeId="0" xr:uid="{00000000-0006-0000-0800-000010000000}">
      <text>
        <r>
          <rPr>
            <b/>
            <sz val="9"/>
            <color indexed="81"/>
            <rFont val="Tahoma"/>
            <family val="2"/>
          </rPr>
          <t xml:space="preserve">Formel:
</t>
        </r>
        <r>
          <rPr>
            <sz val="9"/>
            <color indexed="81"/>
            <rFont val="Tahoma"/>
            <family val="2"/>
          </rPr>
          <t xml:space="preserve"> = Tagesniederschlagshöhe * Gesamteinzugsfläche /1.000</t>
        </r>
        <r>
          <rPr>
            <sz val="9"/>
            <color indexed="81"/>
            <rFont val="Tahoma"/>
            <family val="2"/>
          </rPr>
          <t xml:space="preserve">
Die geringere Menge kann für die Berechnung der Tagesfrachten herangezogen werden.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Zraunig</author>
    <author>Edwin Gfrerer</author>
    <author>Birgit (WaWi)</author>
  </authors>
  <commentList>
    <comment ref="B11" authorId="0" shapeId="0" xr:uid="{00000000-0006-0000-0900-000001000000}">
      <text>
        <r>
          <rPr>
            <b/>
            <sz val="9"/>
            <color indexed="81"/>
            <rFont val="Tahoma"/>
            <family val="2"/>
          </rPr>
          <t xml:space="preserve">Art der Entwäserungsfläche
</t>
        </r>
        <r>
          <rPr>
            <sz val="9"/>
            <color indexed="81"/>
            <rFont val="Tahoma"/>
            <family val="2"/>
          </rPr>
          <t xml:space="preserve">- hartgedeckte Dächer
- Extensiv begrünte Dächer
- Intensiv begrünte Dächer
- befestigte (z.B. asphaltierte) Höfe     
  undWege
- Kieswege (verdichtet)
- Grünflächen &amp; Rasengittersteine
</t>
        </r>
      </text>
    </comment>
    <comment ref="D11" authorId="0" shapeId="0" xr:uid="{00000000-0006-0000-0900-000002000000}">
      <text>
        <r>
          <rPr>
            <b/>
            <sz val="9"/>
            <color indexed="81"/>
            <rFont val="Tahoma"/>
            <family val="2"/>
          </rPr>
          <t xml:space="preserve">Abflussbeiwerte an
</t>
        </r>
        <r>
          <rPr>
            <sz val="9"/>
            <color indexed="81"/>
            <rFont val="Tahoma"/>
            <family val="2"/>
          </rPr>
          <t xml:space="preserve">hartgedeckte Dächer   -   1,0
Extensiv begrünte Dächer   -   0,5
Intensiv begrünte Dächer    -   0,3
befestigte (z.B. asphaltierte) Höfe und Wege   -   0,8 bis 1,0
Kieswege (verdichtet)   -   0,6 bis 0,8
Grünflächen &amp; Rasengittersteine   -   &lt; 0,5
</t>
        </r>
      </text>
    </comment>
    <comment ref="G20" authorId="0" shapeId="0" xr:uid="{00000000-0006-0000-0900-000003000000}">
      <text>
        <r>
          <rPr>
            <b/>
            <sz val="9"/>
            <color indexed="81"/>
            <rFont val="Tahoma"/>
            <family val="2"/>
          </rPr>
          <t xml:space="preserve">Hinweis
</t>
        </r>
        <r>
          <rPr>
            <sz val="9"/>
            <color indexed="81"/>
            <rFont val="Tahoma"/>
            <family val="2"/>
          </rPr>
          <t xml:space="preserve">mit Vorfilterung ....1,0 (ÖNORM)
ohne Vorfilterung ....0,5 (ÖNORM)
</t>
        </r>
      </text>
    </comment>
    <comment ref="G23" authorId="0" shapeId="0" xr:uid="{00000000-0006-0000-0900-000004000000}">
      <text>
        <r>
          <rPr>
            <b/>
            <sz val="9"/>
            <color indexed="81"/>
            <rFont val="Tahoma"/>
            <family val="2"/>
          </rPr>
          <t xml:space="preserve">Hinweis
</t>
        </r>
        <r>
          <rPr>
            <sz val="9"/>
            <color indexed="81"/>
            <rFont val="Tahoma"/>
            <family val="2"/>
          </rPr>
          <t xml:space="preserve">Der Faktor ist von der Herkunft des kf-Wertes abhängig. 
</t>
        </r>
        <r>
          <rPr>
            <b/>
            <sz val="9"/>
            <color indexed="81"/>
            <rFont val="Tahoma"/>
            <family val="2"/>
          </rPr>
          <t xml:space="preserve">Feldversuch: </t>
        </r>
        <r>
          <rPr>
            <sz val="9"/>
            <color indexed="81"/>
            <rFont val="Tahoma"/>
            <family val="2"/>
          </rPr>
          <t xml:space="preserve">2 (entspricht  Wert 1 lt. ÖNORM B 2506-1 unter Berücksichtigung, dass kfu = kf/2)
</t>
        </r>
        <r>
          <rPr>
            <b/>
            <sz val="9"/>
            <color indexed="81"/>
            <rFont val="Tahoma"/>
            <family val="2"/>
          </rPr>
          <t>Bodenansprache:</t>
        </r>
        <r>
          <rPr>
            <sz val="9"/>
            <color indexed="81"/>
            <rFont val="Tahoma"/>
            <family val="2"/>
          </rPr>
          <t xml:space="preserve"> 1,0 (lt. DWA A 138)</t>
        </r>
        <r>
          <rPr>
            <b/>
            <sz val="9"/>
            <color indexed="81"/>
            <rFont val="Tahoma"/>
            <family val="2"/>
          </rPr>
          <t xml:space="preserve">
Sieblinie:</t>
        </r>
        <r>
          <rPr>
            <sz val="9"/>
            <color indexed="81"/>
            <rFont val="Tahoma"/>
            <family val="2"/>
          </rPr>
          <t xml:space="preserve"> 0,2  (entspricht  Wert 0,1 lt. ÖNORM B 2506-1 unter Berücksichtigung, dass kfu = kf/2)
</t>
        </r>
      </text>
    </comment>
    <comment ref="G25" authorId="0" shapeId="0" xr:uid="{00000000-0006-0000-0900-000005000000}">
      <text>
        <r>
          <rPr>
            <b/>
            <sz val="9"/>
            <color indexed="81"/>
            <rFont val="Tahoma"/>
            <family val="2"/>
          </rPr>
          <t xml:space="preserve">Hinweis
</t>
        </r>
        <r>
          <rPr>
            <sz val="9"/>
            <color indexed="81"/>
            <rFont val="Tahoma"/>
            <family val="2"/>
          </rPr>
          <t xml:space="preserve">Bei Brunnenabsenkverfahren mit "Schneidering" Wert auf 0 setzen.
</t>
        </r>
      </text>
    </comment>
    <comment ref="G27" authorId="0" shapeId="0" xr:uid="{00000000-0006-0000-0900-000006000000}">
      <text>
        <r>
          <rPr>
            <b/>
            <sz val="9"/>
            <color indexed="81"/>
            <rFont val="Tahoma"/>
            <family val="2"/>
          </rPr>
          <t xml:space="preserve">HINWEIS
</t>
        </r>
        <r>
          <rPr>
            <sz val="9"/>
            <color indexed="81"/>
            <rFont val="Tahoma"/>
            <family val="2"/>
          </rPr>
          <t xml:space="preserve">Porenspeichervolumen sollte zwischen 15 % und 30 % liegen.
</t>
        </r>
      </text>
    </comment>
    <comment ref="G29" authorId="0" shapeId="0" xr:uid="{00000000-0006-0000-0900-000007000000}">
      <text>
        <r>
          <rPr>
            <sz val="9"/>
            <color indexed="81"/>
            <rFont val="Tahoma"/>
            <family val="2"/>
          </rPr>
          <t>Fläche muss gleich oder größer als Sickerschachtsohle sein.</t>
        </r>
      </text>
    </comment>
    <comment ref="C34" authorId="1" shapeId="0" xr:uid="{00000000-0006-0000-0900-000008000000}">
      <text>
        <r>
          <rPr>
            <sz val="9"/>
            <color indexed="81"/>
            <rFont val="Tahoma"/>
            <family val="2"/>
          </rPr>
          <t>Daten aus ehyd-Datenbank</t>
        </r>
      </text>
    </comment>
    <comment ref="E34" authorId="0" shapeId="0" xr:uid="{00000000-0006-0000-0900-000009000000}">
      <text>
        <r>
          <rPr>
            <b/>
            <sz val="9"/>
            <color indexed="81"/>
            <rFont val="Tahoma"/>
            <family val="2"/>
          </rPr>
          <t>Speichervolumen =</t>
        </r>
        <r>
          <rPr>
            <sz val="9"/>
            <color indexed="81"/>
            <rFont val="Tahoma"/>
            <family val="2"/>
          </rPr>
          <t xml:space="preserve">
 (Versickerungsrate * abflusswirksame Gesamtfläche) / 1.000
</t>
        </r>
      </text>
    </comment>
    <comment ref="G34" authorId="2" shapeId="0" xr:uid="{00000000-0006-0000-0900-00000A000000}">
      <text>
        <r>
          <rPr>
            <b/>
            <sz val="9"/>
            <color indexed="81"/>
            <rFont val="Tahoma"/>
            <family val="2"/>
          </rPr>
          <t xml:space="preserve">Speichervolumen =
</t>
        </r>
        <r>
          <rPr>
            <sz val="9"/>
            <color indexed="81"/>
            <rFont val="Tahoma"/>
            <family val="2"/>
          </rPr>
          <t xml:space="preserve"> (Versickerungsrate * abflusswirksame Gesamtfläche) / 1.000</t>
        </r>
      </text>
    </comment>
    <comment ref="E67" authorId="0" shapeId="0" xr:uid="{00000000-0006-0000-0900-00000B000000}">
      <text>
        <r>
          <rPr>
            <b/>
            <sz val="9"/>
            <color indexed="81"/>
            <rFont val="Tahoma"/>
            <family val="2"/>
          </rPr>
          <t xml:space="preserve">Formel:
</t>
        </r>
        <r>
          <rPr>
            <sz val="9"/>
            <color indexed="81"/>
            <rFont val="Tahoma"/>
            <family val="2"/>
          </rPr>
          <t>Fläche Sickerschacht * kf1 * Sicherheitsbeiwert * 1000</t>
        </r>
      </text>
    </comment>
    <comment ref="G67" authorId="2" shapeId="0" xr:uid="{00000000-0006-0000-0900-00000C000000}">
      <text>
        <r>
          <rPr>
            <b/>
            <sz val="9"/>
            <color indexed="81"/>
            <rFont val="Tahoma"/>
            <family val="2"/>
          </rPr>
          <t>Formel:</t>
        </r>
        <r>
          <rPr>
            <sz val="9"/>
            <color indexed="81"/>
            <rFont val="Tahoma"/>
            <family val="2"/>
          </rPr>
          <t xml:space="preserve">
Fläche Baugrube As * kf2 * Faktor für Sickerfähigkeit anstehender Untergrund * 1.000
</t>
        </r>
      </text>
    </comment>
    <comment ref="E68" authorId="2" shapeId="0" xr:uid="{00000000-0006-0000-0900-00000D000000}">
      <text>
        <r>
          <rPr>
            <sz val="9"/>
            <color indexed="81"/>
            <rFont val="Tahoma"/>
            <family val="2"/>
          </rPr>
          <t>maximale Sickerleistung bei permanetem Einstau</t>
        </r>
      </text>
    </comment>
    <comment ref="G68" authorId="2" shapeId="0" xr:uid="{00000000-0006-0000-0900-00000E000000}">
      <text>
        <r>
          <rPr>
            <sz val="9"/>
            <color indexed="81"/>
            <rFont val="Tahoma"/>
            <family val="2"/>
          </rPr>
          <t>maximale Sickerleistung bei permanetem Einstau</t>
        </r>
      </text>
    </comment>
    <comment ref="E69" authorId="0" shapeId="0" xr:uid="{00000000-0006-0000-0900-00000F000000}">
      <text>
        <r>
          <rPr>
            <sz val="9"/>
            <color indexed="81"/>
            <rFont val="Tahoma"/>
            <family val="2"/>
          </rPr>
          <t xml:space="preserve">Für die Tagesmengenberechnung ist die geringere Sickermenge maßgebend.
</t>
        </r>
      </text>
    </comment>
    <comment ref="E70" authorId="1" shapeId="0" xr:uid="{00000000-0006-0000-0900-000010000000}">
      <text>
        <r>
          <rPr>
            <b/>
            <sz val="9"/>
            <color indexed="81"/>
            <rFont val="Tahoma"/>
            <family val="2"/>
          </rPr>
          <t xml:space="preserve">Formel:
</t>
        </r>
        <r>
          <rPr>
            <sz val="9"/>
            <color indexed="81"/>
            <rFont val="Tahoma"/>
            <family val="2"/>
          </rPr>
          <t xml:space="preserve"> = Tagesniederschlagshöhe * Gesamteinzugsfläche /1.000</t>
        </r>
        <r>
          <rPr>
            <sz val="9"/>
            <color indexed="81"/>
            <rFont val="Tahoma"/>
            <family val="2"/>
          </rPr>
          <t xml:space="preserve">
Die geringere Menge kann für die Berechnung der Tagesfrachten herangezogen werden.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Zraunig</author>
    <author>Birgit (WaWi)</author>
  </authors>
  <commentList>
    <comment ref="B10" authorId="0" shapeId="0" xr:uid="{00000000-0006-0000-0A00-000001000000}">
      <text>
        <r>
          <rPr>
            <b/>
            <sz val="9"/>
            <color indexed="81"/>
            <rFont val="Tahoma"/>
            <family val="2"/>
          </rPr>
          <t xml:space="preserve">Art der Entwäserungsfläche
</t>
        </r>
        <r>
          <rPr>
            <sz val="9"/>
            <color indexed="81"/>
            <rFont val="Tahoma"/>
            <family val="2"/>
          </rPr>
          <t xml:space="preserve">- hartgedeckte Dächer
- Extensiv begrünte Dächer
- Intensiv begrünte Dächer
- befestigte (z.B. asphaltierte) Höfe     
  undWege
- Kieswege (verdichtet)
- Grünflächen &amp; Rasengittersteine
</t>
        </r>
      </text>
    </comment>
    <comment ref="D10" authorId="0" shapeId="0" xr:uid="{00000000-0006-0000-0A00-000002000000}">
      <text>
        <r>
          <rPr>
            <b/>
            <sz val="9"/>
            <color indexed="81"/>
            <rFont val="Tahoma"/>
            <family val="2"/>
          </rPr>
          <t xml:space="preserve">Abflussbeiwerte an
</t>
        </r>
        <r>
          <rPr>
            <sz val="9"/>
            <color indexed="81"/>
            <rFont val="Tahoma"/>
            <family val="2"/>
          </rPr>
          <t xml:space="preserve">hartgedeckte Dächer   -   1,0
Extensiv begrünte Dächer   -   0,5
Intensiv begrünte Dächer    -   0,3
befestigte (z.B. asphaltierte) Höfe und Wege   -   0,8 bis 1,0
Kieswege (verdichtet)   -   0,6 bis 0,8
Grünflächen &amp; Rasengittersteine   -   &lt; 0,5
</t>
        </r>
      </text>
    </comment>
    <comment ref="G18" authorId="0" shapeId="0" xr:uid="{00000000-0006-0000-0A00-000003000000}">
      <text>
        <r>
          <rPr>
            <b/>
            <sz val="9"/>
            <color indexed="81"/>
            <rFont val="Tahoma"/>
            <family val="2"/>
          </rPr>
          <t xml:space="preserve">Bodenart kf (m/s)
</t>
        </r>
        <r>
          <rPr>
            <sz val="9"/>
            <color indexed="81"/>
            <rFont val="Tahoma"/>
            <family val="2"/>
          </rPr>
          <t>Kies 1*10-1 - 1*10-3
sandiger Kies 1*10-3 - 1*10-4
Mittelsand 1*10-3 bis 1*10-5
humoser Oberboden 1*10-3 - 1*10-6
schluffiger Sand 1*10-5 - 1*10-7
Schluff 1*10-6 - 1*10-9
toniger Schluff 1*10-7 - 1*10-11</t>
        </r>
      </text>
    </comment>
    <comment ref="G19" authorId="0" shapeId="0" xr:uid="{00000000-0006-0000-0A00-000004000000}">
      <text>
        <r>
          <rPr>
            <b/>
            <sz val="9"/>
            <color indexed="81"/>
            <rFont val="Tahoma"/>
            <family val="2"/>
          </rPr>
          <t>Hinweis</t>
        </r>
        <r>
          <rPr>
            <sz val="9"/>
            <color indexed="81"/>
            <rFont val="Tahoma"/>
            <family val="2"/>
          </rPr>
          <t xml:space="preserve">
Der Faktor ist von der Herkunft des kf-Wertes abhängig. 
</t>
        </r>
        <r>
          <rPr>
            <b/>
            <sz val="9"/>
            <color indexed="81"/>
            <rFont val="Tahoma"/>
            <family val="2"/>
          </rPr>
          <t>Feldversuch:</t>
        </r>
        <r>
          <rPr>
            <sz val="9"/>
            <color indexed="81"/>
            <rFont val="Tahoma"/>
            <family val="2"/>
          </rPr>
          <t xml:space="preserve"> 2 (entspricht  Wert 1 lt. ÖNORM B 2506-1 unter Berücksichtigung, dass kfu = kf/2)
</t>
        </r>
        <r>
          <rPr>
            <b/>
            <sz val="9"/>
            <color indexed="81"/>
            <rFont val="Tahoma"/>
            <family val="2"/>
          </rPr>
          <t>Bodenansprache:</t>
        </r>
        <r>
          <rPr>
            <sz val="9"/>
            <color indexed="81"/>
            <rFont val="Tahoma"/>
            <family val="2"/>
          </rPr>
          <t xml:space="preserve"> 1,0 (lt. DWA A 138)
</t>
        </r>
        <r>
          <rPr>
            <b/>
            <sz val="9"/>
            <color indexed="81"/>
            <rFont val="Tahoma"/>
            <family val="2"/>
          </rPr>
          <t>Sieblinie:</t>
        </r>
        <r>
          <rPr>
            <sz val="9"/>
            <color indexed="81"/>
            <rFont val="Tahoma"/>
            <family val="2"/>
          </rPr>
          <t xml:space="preserve"> 0,2  (entspricht  Wert 0,1 lt. ÖNORM B 2506-1 unter Berücksichtigung, dass kfu = kf/2)</t>
        </r>
      </text>
    </comment>
    <comment ref="G20" authorId="0" shapeId="0" xr:uid="{00000000-0006-0000-0A00-000005000000}">
      <text>
        <r>
          <rPr>
            <b/>
            <sz val="9"/>
            <color indexed="81"/>
            <rFont val="Tahoma"/>
            <family val="2"/>
          </rPr>
          <t xml:space="preserve">Hinweis
</t>
        </r>
        <r>
          <rPr>
            <sz val="9"/>
            <color indexed="81"/>
            <rFont val="Tahoma"/>
            <family val="2"/>
          </rPr>
          <t xml:space="preserve">mit Vorfilterung ....1,0 (ÖNORM)
ohne Vorfilterung ....0,5 (ÖNORM)
</t>
        </r>
      </text>
    </comment>
    <comment ref="G21" authorId="0" shapeId="0" xr:uid="{00000000-0006-0000-0A00-000006000000}">
      <text>
        <r>
          <rPr>
            <b/>
            <sz val="9"/>
            <color indexed="81"/>
            <rFont val="Tahoma"/>
            <family val="2"/>
          </rPr>
          <t xml:space="preserve">WICHTIG!
</t>
        </r>
        <r>
          <rPr>
            <sz val="9"/>
            <color indexed="81"/>
            <rFont val="Tahoma"/>
            <family val="2"/>
          </rPr>
          <t>Solange anpassen, bis Wert etwa der erforderlichen Länge der Zelle E60 entspricht.</t>
        </r>
      </text>
    </comment>
    <comment ref="G24" authorId="0" shapeId="0" xr:uid="{00000000-0006-0000-0A00-000007000000}">
      <text>
        <r>
          <rPr>
            <b/>
            <sz val="9"/>
            <color indexed="81"/>
            <rFont val="Tahoma"/>
            <family val="2"/>
          </rPr>
          <t xml:space="preserve">Ja: </t>
        </r>
        <r>
          <rPr>
            <sz val="9"/>
            <color indexed="81"/>
            <rFont val="Tahoma"/>
            <family val="2"/>
          </rPr>
          <t xml:space="preserve">Höhe der Rigole wird beidseitig zu 1/4 bei der Ermittlung der Versickerungsfläche angesetzt.
</t>
        </r>
        <r>
          <rPr>
            <b/>
            <sz val="9"/>
            <color indexed="81"/>
            <rFont val="Tahoma"/>
            <family val="2"/>
          </rPr>
          <t>Nein:</t>
        </r>
        <r>
          <rPr>
            <sz val="9"/>
            <color indexed="81"/>
            <rFont val="Tahoma"/>
            <family val="2"/>
          </rPr>
          <t xml:space="preserve"> Versickerung ausschließlich über Sohlfläche.</t>
        </r>
      </text>
    </comment>
    <comment ref="C25" authorId="0" shapeId="0" xr:uid="{00000000-0006-0000-0A00-000008000000}">
      <text>
        <r>
          <rPr>
            <b/>
            <sz val="9"/>
            <color indexed="81"/>
            <rFont val="Tahoma"/>
            <family val="2"/>
          </rPr>
          <t xml:space="preserve">Angabe wohin Abfluss erfolgt 
</t>
        </r>
        <r>
          <rPr>
            <sz val="9"/>
            <color indexed="81"/>
            <rFont val="Tahoma"/>
            <family val="2"/>
          </rPr>
          <t>(zB Drosselabfluss in Vorfluter)</t>
        </r>
      </text>
    </comment>
    <comment ref="G25" authorId="0" shapeId="0" xr:uid="{00000000-0006-0000-0A00-000009000000}">
      <text>
        <r>
          <rPr>
            <sz val="9"/>
            <color indexed="81"/>
            <rFont val="Tahoma"/>
            <family val="2"/>
          </rPr>
          <t xml:space="preserve">Mittelwert zwischen Abfluss bei Speicherbeginn und Vollfüllung
</t>
        </r>
      </text>
    </comment>
    <comment ref="C32" authorId="1" shapeId="0" xr:uid="{00000000-0006-0000-0A00-00000A000000}">
      <text>
        <r>
          <rPr>
            <sz val="9"/>
            <color indexed="81"/>
            <rFont val="Tahoma"/>
            <family val="2"/>
          </rPr>
          <t>Daten aus ehyd-Datenbank</t>
        </r>
      </text>
    </comment>
    <comment ref="E60" authorId="0" shapeId="0" xr:uid="{00000000-0006-0000-0A00-00000B000000}">
      <text>
        <r>
          <rPr>
            <b/>
            <sz val="9"/>
            <color indexed="81"/>
            <rFont val="Tahoma"/>
            <family val="2"/>
          </rPr>
          <t xml:space="preserve">HINWEIS
</t>
        </r>
        <r>
          <rPr>
            <sz val="9"/>
            <color indexed="81"/>
            <rFont val="Tahoma"/>
            <family val="2"/>
          </rPr>
          <t xml:space="preserve">Ergebnis muss etwa gleich groß sein wie  eingegebene Länge der Zelle G21 (Rigolenlänge).
</t>
        </r>
      </text>
    </comment>
    <comment ref="E63" authorId="1" shapeId="0" xr:uid="{00000000-0006-0000-0A00-00000C000000}">
      <text>
        <r>
          <rPr>
            <b/>
            <sz val="9"/>
            <color indexed="81"/>
            <rFont val="Tahoma"/>
            <family val="2"/>
          </rPr>
          <t xml:space="preserve">Formel:
</t>
        </r>
        <r>
          <rPr>
            <sz val="9"/>
            <color indexed="81"/>
            <rFont val="Tahoma"/>
            <family val="2"/>
          </rPr>
          <t>As*kf*Beiwert*1000</t>
        </r>
      </text>
    </comment>
    <comment ref="E64" authorId="1" shapeId="0" xr:uid="{00000000-0006-0000-0A00-00000D000000}">
      <text>
        <r>
          <rPr>
            <b/>
            <sz val="9"/>
            <color indexed="81"/>
            <rFont val="Tahoma"/>
            <family val="2"/>
          </rPr>
          <t xml:space="preserve">Formel:
</t>
        </r>
        <r>
          <rPr>
            <sz val="9"/>
            <color indexed="81"/>
            <rFont val="Tahoma"/>
            <family val="2"/>
          </rPr>
          <t xml:space="preserve"> = Sickermenge bezogen auf As und kf * 3,6 * 24</t>
        </r>
        <r>
          <rPr>
            <sz val="9"/>
            <color indexed="81"/>
            <rFont val="Tahoma"/>
            <family val="2"/>
          </rPr>
          <t xml:space="preserve">
</t>
        </r>
      </text>
    </comment>
    <comment ref="E65" authorId="0" shapeId="0" xr:uid="{00000000-0006-0000-0A00-00000E000000}">
      <text>
        <r>
          <rPr>
            <b/>
            <sz val="9"/>
            <color indexed="81"/>
            <rFont val="Tahoma"/>
            <family val="2"/>
          </rPr>
          <t xml:space="preserve">Formel:
</t>
        </r>
        <r>
          <rPr>
            <sz val="9"/>
            <color indexed="81"/>
            <rFont val="Tahoma"/>
            <family val="2"/>
          </rPr>
          <t xml:space="preserve"> = Tagesniederschlagshöhe * Gesamteinzugsfläche /1.000
Die geringere Menge kann für die Berechnung der Tagesfrachten herangezogen werden.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Zraunig</author>
  </authors>
  <commentList>
    <comment ref="B10" authorId="0" shapeId="0" xr:uid="{00000000-0006-0000-0B00-000001000000}">
      <text>
        <r>
          <rPr>
            <b/>
            <sz val="9"/>
            <color indexed="81"/>
            <rFont val="Tahoma"/>
            <family val="2"/>
          </rPr>
          <t xml:space="preserve">Art der Entwäserungsfläche
</t>
        </r>
        <r>
          <rPr>
            <sz val="9"/>
            <color indexed="81"/>
            <rFont val="Tahoma"/>
            <family val="2"/>
          </rPr>
          <t xml:space="preserve">- hartgedeckte Dächer
- Extensiv begrünte Dächer
- Intensiv begrünte Dächer
- befestigte (z.B. asphaltierte) Höfe     
  undWege
- Kieswege (verdichtet)
- Grünflächen &amp; Rasengittersteine
</t>
        </r>
      </text>
    </comment>
    <comment ref="D10" authorId="0" shapeId="0" xr:uid="{00000000-0006-0000-0B00-000002000000}">
      <text>
        <r>
          <rPr>
            <b/>
            <sz val="9"/>
            <color indexed="81"/>
            <rFont val="Tahoma"/>
            <family val="2"/>
          </rPr>
          <t xml:space="preserve">Abflussbeiwerte an
</t>
        </r>
        <r>
          <rPr>
            <sz val="9"/>
            <color indexed="81"/>
            <rFont val="Tahoma"/>
            <family val="2"/>
          </rPr>
          <t xml:space="preserve">hartgedeckte Dächer   -   1,0
Extensiv begrünte Dächer   -   0,5
Intensiv begrünte Dächer    -   0,3
befestigte (z.B. asphaltierte) Höfe und Wege   -   0,8 bis 1,0
Kieswege (verdichtet)   -   0,6 bis 0,8
Grünflächen &amp; Rasengittersteine   -   &lt; 0,5
</t>
        </r>
      </text>
    </comment>
    <comment ref="E16" authorId="0" shapeId="0" xr:uid="{00000000-0006-0000-0B00-000003000000}">
      <text>
        <r>
          <rPr>
            <b/>
            <sz val="9"/>
            <color indexed="81"/>
            <rFont val="Tahoma"/>
            <family val="2"/>
          </rPr>
          <t xml:space="preserve">HINWEIS
</t>
        </r>
        <r>
          <rPr>
            <sz val="9"/>
            <color indexed="81"/>
            <rFont val="Tahoma"/>
            <family val="2"/>
          </rPr>
          <t xml:space="preserve">max. 200 ha
</t>
        </r>
      </text>
    </comment>
    <comment ref="F18" authorId="0" shapeId="0" xr:uid="{00000000-0006-0000-0B00-000004000000}">
      <text>
        <r>
          <rPr>
            <sz val="9"/>
            <color indexed="81"/>
            <rFont val="Tahoma"/>
            <family val="2"/>
          </rPr>
          <t xml:space="preserve">max. 15 min
</t>
        </r>
      </text>
    </comment>
    <comment ref="F19" authorId="0" shapeId="0" xr:uid="{00000000-0006-0000-0B00-000005000000}">
      <text>
        <r>
          <rPr>
            <sz val="9"/>
            <color indexed="81"/>
            <rFont val="Tahoma"/>
            <family val="2"/>
          </rPr>
          <t xml:space="preserve">Mittel zwischen Abfluss bei Speicherbeginn und Vollfüllung.
</t>
        </r>
      </text>
    </comment>
    <comment ref="F20" authorId="0" shapeId="0" xr:uid="{00000000-0006-0000-0B00-000006000000}">
      <text>
        <r>
          <rPr>
            <b/>
            <sz val="9"/>
            <color indexed="81"/>
            <rFont val="Tahoma"/>
            <family val="2"/>
          </rPr>
          <t>mind. 2 l/s * ha</t>
        </r>
        <r>
          <rPr>
            <sz val="9"/>
            <color indexed="81"/>
            <rFont val="Tahoma"/>
            <family val="2"/>
          </rPr>
          <t xml:space="preserve">
</t>
        </r>
      </text>
    </comment>
    <comment ref="F21" authorId="0" shapeId="0" xr:uid="{00000000-0006-0000-0B00-000007000000}">
      <text>
        <r>
          <rPr>
            <b/>
            <sz val="9"/>
            <color indexed="81"/>
            <rFont val="Tahoma"/>
            <family val="2"/>
          </rPr>
          <t xml:space="preserve">Hinweis
</t>
        </r>
        <r>
          <rPr>
            <sz val="9"/>
            <color indexed="81"/>
            <rFont val="Tahoma"/>
            <family val="2"/>
          </rPr>
          <t xml:space="preserve">Der Faktor ist abhängig vom Risikomaß. 
</t>
        </r>
        <r>
          <rPr>
            <b/>
            <sz val="9"/>
            <color indexed="81"/>
            <rFont val="Tahoma"/>
            <family val="2"/>
          </rPr>
          <t>Risikomaß</t>
        </r>
        <r>
          <rPr>
            <sz val="9"/>
            <color indexed="81"/>
            <rFont val="Tahoma"/>
            <family val="2"/>
          </rPr>
          <t xml:space="preserve">      </t>
        </r>
        <r>
          <rPr>
            <b/>
            <sz val="9"/>
            <color indexed="81"/>
            <rFont val="Tahoma"/>
            <family val="2"/>
          </rPr>
          <t>Zuschlagsfaktor fz</t>
        </r>
        <r>
          <rPr>
            <sz val="9"/>
            <color indexed="81"/>
            <rFont val="Tahoma"/>
            <family val="2"/>
          </rPr>
          <t xml:space="preserve">
gering                    1,20
mittel                     1,15
hoch                      1,10</t>
        </r>
      </text>
    </comment>
    <comment ref="F22" authorId="0" shapeId="0" xr:uid="{00000000-0006-0000-0B00-000008000000}">
      <text>
        <r>
          <rPr>
            <sz val="9"/>
            <color indexed="81"/>
            <rFont val="Tahoma"/>
            <family val="2"/>
          </rPr>
          <t>Ermittlung des Faktors nach DWAA 117, Bild 3 (liegt im Anwendungsbereich des einfachen Verfahrens zwischen 0,78 und 1).</t>
        </r>
      </text>
    </comment>
    <comment ref="C26" authorId="0" shapeId="0" xr:uid="{00000000-0006-0000-0B00-000009000000}">
      <text>
        <r>
          <rPr>
            <b/>
            <sz val="9"/>
            <color indexed="81"/>
            <rFont val="Tahoma"/>
            <family val="2"/>
          </rPr>
          <t xml:space="preserve">HINWEIS
</t>
        </r>
        <r>
          <rPr>
            <sz val="9"/>
            <color indexed="81"/>
            <rFont val="Tahoma"/>
            <family val="2"/>
          </rPr>
          <t xml:space="preserve">Jährlichkeit max. 10
</t>
        </r>
      </text>
    </comment>
    <comment ref="C27" authorId="0" shapeId="0" xr:uid="{00000000-0006-0000-0B00-00000A000000}">
      <text>
        <r>
          <rPr>
            <sz val="9"/>
            <color indexed="81"/>
            <rFont val="Tahoma"/>
            <family val="2"/>
          </rPr>
          <t>Daten aus ehyd-Datenbank</t>
        </r>
      </text>
    </comment>
    <comment ref="D27" authorId="0" shapeId="0" xr:uid="{00000000-0006-0000-0B00-00000B000000}">
      <text>
        <r>
          <rPr>
            <b/>
            <sz val="9"/>
            <color indexed="81"/>
            <rFont val="Tahoma"/>
            <family val="2"/>
          </rPr>
          <t>Formel:</t>
        </r>
        <r>
          <rPr>
            <sz val="9"/>
            <color indexed="81"/>
            <rFont val="Tahoma"/>
            <family val="2"/>
          </rPr>
          <t xml:space="preserve">
(Zufluss - Abfluss) * fz * fa</t>
        </r>
      </text>
    </comment>
    <comment ref="A53" authorId="0" shapeId="0" xr:uid="{00000000-0006-0000-0B00-00000C000000}">
      <text>
        <r>
          <rPr>
            <b/>
            <sz val="9"/>
            <color indexed="81"/>
            <rFont val="Tahoma"/>
            <family val="2"/>
          </rPr>
          <t xml:space="preserve">Formel
</t>
        </r>
        <r>
          <rPr>
            <sz val="9"/>
            <color indexed="81"/>
            <rFont val="Tahoma"/>
            <family val="2"/>
          </rPr>
          <t>max. spezif. Speichervolumen * Einzugsgebiet</t>
        </r>
        <r>
          <rPr>
            <b/>
            <sz val="9"/>
            <color indexed="81"/>
            <rFont val="Tahoma"/>
            <family val="2"/>
          </rPr>
          <t xml:space="preserve">
</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Zraunig</author>
  </authors>
  <commentList>
    <comment ref="C10" authorId="0" shapeId="0" xr:uid="{00000000-0006-0000-0C00-000001000000}">
      <text>
        <r>
          <rPr>
            <sz val="9"/>
            <color indexed="81"/>
            <rFont val="Tahoma"/>
            <family val="2"/>
          </rPr>
          <t xml:space="preserve">Grenzwert kann eingetragen werden.
</t>
        </r>
      </text>
    </comment>
    <comment ref="C20" authorId="0" shapeId="0" xr:uid="{00000000-0006-0000-0C00-000002000000}">
      <text>
        <r>
          <rPr>
            <sz val="9"/>
            <color indexed="81"/>
            <rFont val="Tahoma"/>
            <family val="2"/>
          </rPr>
          <t>Grenzwert kann eingetragen werden</t>
        </r>
        <r>
          <rPr>
            <b/>
            <sz val="9"/>
            <color indexed="81"/>
            <rFont val="Tahoma"/>
            <family val="2"/>
          </rPr>
          <t>.</t>
        </r>
      </text>
    </comment>
    <comment ref="B22" authorId="0" shapeId="0" xr:uid="{00000000-0006-0000-0C00-000003000000}">
      <text>
        <r>
          <rPr>
            <sz val="9"/>
            <color indexed="81"/>
            <rFont val="Tahoma"/>
            <family val="2"/>
          </rPr>
          <t>Hier können weitere Paramter eingetragen werden.</t>
        </r>
      </text>
    </comment>
    <comment ref="C22" authorId="0" shapeId="0" xr:uid="{00000000-0006-0000-0C00-000004000000}">
      <text>
        <r>
          <rPr>
            <sz val="9"/>
            <color indexed="81"/>
            <rFont val="Tahoma"/>
            <family val="2"/>
          </rPr>
          <t xml:space="preserve">Grenzwert kann eingetragen werden.
</t>
        </r>
      </text>
    </comment>
    <comment ref="B23" authorId="0" shapeId="0" xr:uid="{00000000-0006-0000-0C00-000005000000}">
      <text>
        <r>
          <rPr>
            <sz val="9"/>
            <color indexed="81"/>
            <rFont val="Tahoma"/>
            <family val="2"/>
          </rPr>
          <t>Hier können weitere Paramter eingetragen werden.</t>
        </r>
      </text>
    </comment>
    <comment ref="C23" authorId="0" shapeId="0" xr:uid="{00000000-0006-0000-0C00-000006000000}">
      <text>
        <r>
          <rPr>
            <sz val="9"/>
            <color indexed="81"/>
            <rFont val="Tahoma"/>
            <family val="2"/>
          </rPr>
          <t xml:space="preserve">Grenzwert kann eingetragen werden.
</t>
        </r>
      </text>
    </comment>
    <comment ref="B24" authorId="0" shapeId="0" xr:uid="{00000000-0006-0000-0C00-000007000000}">
      <text>
        <r>
          <rPr>
            <sz val="9"/>
            <color indexed="81"/>
            <rFont val="Tahoma"/>
            <family val="2"/>
          </rPr>
          <t>Hier können weitere Paramter eingetragen werden.</t>
        </r>
      </text>
    </comment>
    <comment ref="C24" authorId="0" shapeId="0" xr:uid="{00000000-0006-0000-0C00-000008000000}">
      <text>
        <r>
          <rPr>
            <sz val="9"/>
            <color indexed="81"/>
            <rFont val="Tahoma"/>
            <family val="2"/>
          </rPr>
          <t>Grenzwert kann eingetragen werden.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atei" type="6" refreshedVersion="0" background="1">
    <textPr prompt="0" sourceFile=" +Datei" decimal="," thousands=".">
      <textFields>
        <textField/>
      </textFields>
    </textPr>
  </connection>
  <connection id="2" xr16:uid="{00000000-0015-0000-FFFF-FFFF01000000}" name="Bemessungsniederschlag_Gitterpunkt_3624" type="6" refreshedVersion="0" background="1">
    <textPr prompt="0" sourceFile="C:\Users\Silviam\Desktop\AUSTAUSCH_NETZWERK\VERSICKERUNGSPROGRAMM\ehyd_Regendaten\\Bemessungsniederschlag_Gitterpunkt_3624.txt" decimal="," thousands=".">
      <textFields>
        <textField/>
      </textFields>
    </textPr>
  </connection>
  <connection id="3" xr16:uid="{00000000-0015-0000-FFFF-FFFF02000000}" name="Bemessungsniederschlag_Gitterpunkt_4685" type="6" refreshedVersion="0" background="1">
    <textPr prompt="0" sourceFile="C:\Users\Silviam\Desktop\AUSTAUSCH_NETZWERK\VERSICKERUNGSPROGRAMM/ehyd_Regendaten/\Bemessungsniederschlag_Gitterpunkt_4685.txt" decimal="," thousands=".">
      <textFields>
        <textField/>
      </textFields>
    </textPr>
  </connection>
  <connection id="4" xr16:uid="{00000000-0015-0000-FFFF-FFFF03000000}" name="Bemessungsniederschlag_Gitterpunkt_5293" type="6" refreshedVersion="0" background="1">
    <textPr prompt="0" sourceFile="DateiPfad\Bemessungsniederschlag_Gitterpunkt_5293.txt" decimal="," thousands=".">
      <textFields>
        <textField/>
      </textFields>
    </textPr>
  </connection>
  <connection id="5" xr16:uid="{00000000-0015-0000-FFFF-FFFF04000000}" name="Bemessungsniederschlag_Gitterpunkt_52931" type="6" refreshedVersion="0" background="1">
    <textPr prompt="0" sourceFile="DateiPfad\Bemessungsniederschlag_Gitterpunkt_5293.txt" decimal="," thousands=".">
      <textFields>
        <textField/>
      </textFields>
    </textPr>
  </connection>
  <connection id="6" xr16:uid="{00000000-0015-0000-FFFF-FFFF05000000}" name="Bemessungsniederschlag_Gitterpunkt_52932" type="6" refreshedVersion="0" background="1">
    <textPr prompt="0" sourceFile=" C:\Users\Silviam\Desktop\ehyd_Regendaten\Bemessungsniederschlag_Gitterpunkt_5293.txt" decimal="," thousands=".">
      <textFields>
        <textField/>
      </textFields>
    </textPr>
  </connection>
  <connection id="7" xr16:uid="{00000000-0015-0000-FFFF-FFFF06000000}" name="Bemessungsniederschlag_Gitterpunkt_52933" type="6" refreshedVersion="0" background="1">
    <textPr prompt="0" sourceFile=" C:\Users\Silviam\Desktop\ehyd_Regendaten\Bemessungsniederschlag_Gitterpunkt_5293.txt" decimal="," thousands=".">
      <textFields>
        <textField/>
      </textFields>
    </textPr>
  </connection>
  <connection id="8" xr16:uid="{00000000-0015-0000-FFFF-FFFF07000000}" name="Bemessungsniederschlag_Gitterpunkt_5402" type="6" refreshedVersion="0" background="1">
    <textPr prompt="0" sourceFile="DateiPfad\Bemessungsniederschlag_Gitterpunkt_5402.txt" decimal="," thousands=".">
      <textFields>
        <textField/>
      </textFields>
    </textPr>
  </connection>
  <connection id="9" xr16:uid="{00000000-0015-0000-FFFF-FFFF08000000}" name="Datei" type="6" refreshedVersion="0" background="1">
    <textPr prompt="0" sourceFile="Datei" decimal="," thousands=".">
      <textFields>
        <textField/>
      </textFields>
    </textPr>
  </connection>
  <connection id="10" xr16:uid="{00000000-0015-0000-FFFF-FFFF09000000}" name="Datei1" type="6" refreshedVersion="0" background="1">
    <textPr prompt="0" sourceFile=" Datei" decimal="," thousands=".">
      <textFields>
        <textField/>
      </textFields>
    </textPr>
  </connection>
  <connection id="11" xr16:uid="{00000000-0015-0000-FFFF-FFFF0A000000}" name="Datei2" type="6" refreshedVersion="0" background="1">
    <textPr prompt="0" sourceFile=" Datei" decimal="," thousands=".">
      <textFields>
        <textField/>
      </textFields>
    </textPr>
  </connection>
  <connection id="12" xr16:uid="{00000000-0015-0000-FFFF-FFFF0B000000}" name="DateiPfad" type="6" refreshedVersion="0" background="1">
    <textPr prompt="0" sourceFile="DateiPfad" decimal="," thousands=".">
      <textFields>
        <textField/>
      </textFields>
    </textPr>
  </connection>
  <connection id="13" xr16:uid="{00000000-0015-0000-FFFF-FFFF0C000000}" name="DateiPfad1" type="6" refreshedVersion="0" background="1">
    <textPr prompt="0" sourceFile="DateiPfad" decimal="," thousands=".">
      <textFields>
        <textField/>
      </textFields>
    </textPr>
  </connection>
  <connection id="14" xr16:uid="{00000000-0015-0000-FFFF-FFFF0D000000}" name="DateiPfad10" type="6" refreshedVersion="0" background="1">
    <textPr prompt="0" sourceFile="DateiPfad" decimal="," thousands=".">
      <textFields>
        <textField/>
      </textFields>
    </textPr>
  </connection>
  <connection id="15" xr16:uid="{00000000-0015-0000-FFFF-FFFF0E000000}" name="DateiPfad11" type="6" refreshedVersion="0" background="1">
    <textPr prompt="0" sourceFile="DateiPfad" decimal="," thousands=".">
      <textFields>
        <textField/>
      </textFields>
    </textPr>
  </connection>
  <connection id="16" xr16:uid="{00000000-0015-0000-FFFF-FFFF0F000000}" name="DateiPfad12" type="6" refreshedVersion="0" background="1">
    <textPr prompt="0" sourceFile="DateiPfad" decimal="," thousands=".">
      <textFields>
        <textField/>
      </textFields>
    </textPr>
  </connection>
  <connection id="17" xr16:uid="{00000000-0015-0000-FFFF-FFFF10000000}" name="DateiPfad13" type="6" refreshedVersion="0" background="1">
    <textPr prompt="0" sourceFile="DateiPfad" decimal="," thousands=".">
      <textFields>
        <textField/>
      </textFields>
    </textPr>
  </connection>
  <connection id="18" xr16:uid="{00000000-0015-0000-FFFF-FFFF11000000}" name="DateiPfad14" type="6" refreshedVersion="0" background="1">
    <textPr prompt="0" sourceFile="DateiPfad" decimal="," thousands=".">
      <textFields>
        <textField/>
      </textFields>
    </textPr>
  </connection>
  <connection id="19" xr16:uid="{00000000-0015-0000-FFFF-FFFF12000000}" name="DateiPfad15" type="6" refreshedVersion="0" background="1">
    <textPr prompt="0" sourceFile="DateiPfad" decimal="," thousands=".">
      <textFields>
        <textField/>
      </textFields>
    </textPr>
  </connection>
  <connection id="20" xr16:uid="{00000000-0015-0000-FFFF-FFFF13000000}" name="DateiPfad16" type="6" refreshedVersion="0" background="1">
    <textPr prompt="0" sourceFile="DateiPfad" decimal="," thousands=".">
      <textFields>
        <textField/>
      </textFields>
    </textPr>
  </connection>
  <connection id="21" xr16:uid="{00000000-0015-0000-FFFF-FFFF14000000}" name="DateiPfad17" type="6" refreshedVersion="0" background="1">
    <textPr prompt="0" sourceFile="DateiPfad" decimal="," thousands=".">
      <textFields>
        <textField/>
      </textFields>
    </textPr>
  </connection>
  <connection id="22" xr16:uid="{00000000-0015-0000-FFFF-FFFF15000000}" name="DateiPfad18" type="6" refreshedVersion="0" background="1">
    <textPr prompt="0" sourceFile="DateiPfad" decimal="," thousands=".">
      <textFields>
        <textField/>
      </textFields>
    </textPr>
  </connection>
  <connection id="23" xr16:uid="{00000000-0015-0000-FFFF-FFFF16000000}" name="DateiPfad19" type="6" refreshedVersion="0" background="1">
    <textPr prompt="0" sourceFile="DateiPfad" decimal="," thousands=".">
      <textFields>
        <textField/>
      </textFields>
    </textPr>
  </connection>
  <connection id="24" xr16:uid="{00000000-0015-0000-FFFF-FFFF17000000}" name="DateiPfad2" type="6" refreshedVersion="0" background="1">
    <textPr prompt="0" sourceFile="DateiPfad" decimal="," thousands=".">
      <textFields>
        <textField/>
      </textFields>
    </textPr>
  </connection>
  <connection id="25" xr16:uid="{00000000-0015-0000-FFFF-FFFF18000000}" name="DateiPfad20" type="6" refreshedVersion="0" background="1">
    <textPr prompt="0" sourceFile="DateiPfad" decimal="," thousands=".">
      <textFields>
        <textField/>
      </textFields>
    </textPr>
  </connection>
  <connection id="26" xr16:uid="{00000000-0015-0000-FFFF-FFFF19000000}" name="DateiPfad21" type="6" refreshedVersion="0" background="1">
    <textPr prompt="0" sourceFile="DateiPfad" decimal="," thousands=".">
      <textFields>
        <textField/>
      </textFields>
    </textPr>
  </connection>
  <connection id="27" xr16:uid="{00000000-0015-0000-FFFF-FFFF1A000000}" name="DateiPfad22" type="6" refreshedVersion="0" background="1">
    <textPr prompt="0" sourceFile="DateiPfad" decimal="," thousands=".">
      <textFields>
        <textField/>
      </textFields>
    </textPr>
  </connection>
  <connection id="28" xr16:uid="{00000000-0015-0000-FFFF-FFFF1B000000}" name="DateiPfad3" type="6" refreshedVersion="0" background="1">
    <textPr prompt="0" sourceFile="DateiPfad" decimal="," thousands=".">
      <textFields>
        <textField/>
      </textFields>
    </textPr>
  </connection>
  <connection id="29" xr16:uid="{00000000-0015-0000-FFFF-FFFF1C000000}" name="DateiPfad4" type="6" refreshedVersion="0" background="1">
    <textPr prompt="0" sourceFile="DateiPfad" decimal="," thousands=".">
      <textFields>
        <textField/>
      </textFields>
    </textPr>
  </connection>
  <connection id="30" xr16:uid="{00000000-0015-0000-FFFF-FFFF1D000000}" name="DateiPfad5" type="6" refreshedVersion="0" background="1">
    <textPr prompt="0" sourceFile="DateiPfad" decimal="," thousands=".">
      <textFields>
        <textField/>
      </textFields>
    </textPr>
  </connection>
  <connection id="31" xr16:uid="{00000000-0015-0000-FFFF-FFFF1E000000}" name="DateiPfad6" type="6" refreshedVersion="0" background="1">
    <textPr prompt="0" sourceFile="DateiPfad" decimal="," thousands=".">
      <textFields>
        <textField/>
      </textFields>
    </textPr>
  </connection>
  <connection id="32" xr16:uid="{00000000-0015-0000-FFFF-FFFF1F000000}" name="DateiPfad7" type="6" refreshedVersion="0" background="1">
    <textPr prompt="0" sourceFile="DateiPfad" decimal="," thousands=".">
      <textFields>
        <textField/>
      </textFields>
    </textPr>
  </connection>
  <connection id="33" xr16:uid="{00000000-0015-0000-FFFF-FFFF20000000}" name="DateiPfad8" type="6" refreshedVersion="0" background="1">
    <textPr prompt="0" sourceFile="DateiPfad" decimal="," thousands=".">
      <textFields>
        <textField/>
      </textFields>
    </textPr>
  </connection>
  <connection id="34" xr16:uid="{00000000-0015-0000-FFFF-FFFF21000000}" name="DateiPfad9" type="6" refreshedVersion="0" background="1">
    <textPr prompt="0" sourceFile="DateiPfad" decimal="," thousands=".">
      <textFields>
        <textField/>
      </textFields>
    </textPr>
  </connection>
  <connection id="35" xr16:uid="{00000000-0015-0000-FFFF-FFFF22000000}" name="Verbindung" type="6" refreshedVersion="0" background="1">
    <textPr prompt="0" sourceFile="C:\Users\Silviam\Desktop\AUSTAUSCH_NETZWERK\VERSICKERUNGSPROGRAMM\ehyd_Regendaten\" decimal="," thousands=".">
      <textFields>
        <textField/>
      </textFields>
    </textPr>
  </connection>
  <connection id="36" xr16:uid="{00000000-0015-0000-FFFF-FFFF23000000}" name="Verbindung1" type="6" refreshedVersion="0" background="1">
    <textPr prompt="0" sourceFile="C:\Users\Silviam\Desktop\AUSTAUSCH_NETZWERK\VERSICKERUNGSPROGRAMM\ehyd_Regendaten\" decimal="," thousands=".">
      <textFields>
        <textField/>
      </textFields>
    </textPr>
  </connection>
  <connection id="37" xr16:uid="{00000000-0015-0000-FFFF-FFFF24000000}" name="Verbindung10" type="6" refreshedVersion="0" background="1">
    <textPr prompt="0" sourceFile="C:\Users\Silviam\Desktop\AUSTAUSCH_NETZWERK\VERSICKERUNGSPROGRAMM\ehyd_Regendaten\" decimal="," thousands=".">
      <textFields>
        <textField/>
      </textFields>
    </textPr>
  </connection>
  <connection id="38" xr16:uid="{00000000-0015-0000-FFFF-FFFF25000000}" name="Verbindung11" type="6" refreshedVersion="0" background="1">
    <textPr prompt="0" sourceFile="C:\Users\Silviam\Desktop\AUSTAUSCH_NETZWERK\VERSICKERUNGSPROGRAMM\ehyd_Regendaten\" decimal="," thousands=".">
      <textFields>
        <textField/>
      </textFields>
    </textPr>
  </connection>
  <connection id="39" xr16:uid="{00000000-0015-0000-FFFF-FFFF26000000}" name="Verbindung12" type="6" refreshedVersion="0" background="1">
    <textPr prompt="0" sourceFile="C:\Users\Silviam\Desktop\AUSTAUSCH_NETZWERK\VERSICKERUNGSPROGRAMM\ehyd_Regendaten\" decimal="," thousands=".">
      <textFields>
        <textField/>
      </textFields>
    </textPr>
  </connection>
  <connection id="40" xr16:uid="{00000000-0015-0000-FFFF-FFFF27000000}" name="Verbindung13" type="6" refreshedVersion="0" background="1">
    <textPr prompt="0" sourceFile="C:\Users\Silviam\Desktop\AUSTAUSCH_NETZWERK\VERSICKERUNGSPROGRAMM\ehyd_Regendaten\" decimal="," thousands=".">
      <textFields>
        <textField/>
      </textFields>
    </textPr>
  </connection>
  <connection id="41" xr16:uid="{00000000-0015-0000-FFFF-FFFF28000000}" name="Verbindung14" type="6" refreshedVersion="0" background="1">
    <textPr prompt="0" sourceFile="C:\Users\Silviam\Desktop\AUSTAUSCH_NETZWERK\VERSICKERUNGSPROGRAMM\ehyd_Regendaten\\" decimal="," thousands=".">
      <textFields>
        <textField/>
      </textFields>
    </textPr>
  </connection>
  <connection id="42" xr16:uid="{00000000-0015-0000-FFFF-FFFF29000000}" name="Verbindung15" type="6" refreshedVersion="0" background="1">
    <textPr prompt="0" sourceFile="C:\Users\Silviam\Desktop\AUSTAUSCH_NETZWERK\VERSICKERUNGSPROGRAMM\ehyd_Regendaten\" decimal="," thousands=".">
      <textFields>
        <textField/>
      </textFields>
    </textPr>
  </connection>
  <connection id="43" xr16:uid="{00000000-0015-0000-FFFF-FFFF2A000000}" name="Verbindung16" type="6" refreshedVersion="0" background="1">
    <textPr prompt="0" sourceFile="C:\Users\Silviam\Desktop\AUSTAUSCH_NETZWERK\VERSICKERUNGSPROGRAMM\ehyd_Regendaten\" decimal="," thousands=".">
      <textFields>
        <textField/>
      </textFields>
    </textPr>
  </connection>
  <connection id="44" xr16:uid="{00000000-0015-0000-FFFF-FFFF2B000000}" name="Verbindung17" type="6" refreshedVersion="0" background="1">
    <textPr prompt="0" sourceFile="C:\Users\Silviam\Desktop\AUSTAUSCH_NETZWERK\VERSICKERUNGSPROGRAMM\ehyd_Regendaten\" decimal="," thousands=".">
      <textFields>
        <textField/>
      </textFields>
    </textPr>
  </connection>
  <connection id="45" xr16:uid="{00000000-0015-0000-FFFF-FFFF2C000000}" name="Verbindung18" type="6" refreshedVersion="0" background="1">
    <textPr prompt="0" sourceFile="C:\Users\Silviam\Desktop\AUSTAUSCH_NETZWERK\VERSICKERUNGSPROGRAMM\ehyd_Regendaten\" decimal="," thousands=".">
      <textFields>
        <textField/>
      </textFields>
    </textPr>
  </connection>
  <connection id="46" xr16:uid="{00000000-0015-0000-FFFF-FFFF2D000000}" name="Verbindung19" type="6" refreshedVersion="0" background="1">
    <textPr prompt="0" sourceFile="C:\Users\Silviam\Desktop\AUSTAUSCH_NETZWERK\VERSICKERUNGSPROGRAMM\ehyd_Regendaten\" decimal="," thousands=".">
      <textFields>
        <textField/>
      </textFields>
    </textPr>
  </connection>
  <connection id="47" xr16:uid="{00000000-0015-0000-FFFF-FFFF2E000000}" name="Verbindung2" type="6" refreshedVersion="0" background="1">
    <textPr prompt="0" sourceFile="C:\Users\Silviam\Desktop\AUSTAUSCH_NETZWERK\VERSICKERUNGSPROGRAMM\ehyd_Regendaten\" decimal="," thousands=".">
      <textFields>
        <textField/>
      </textFields>
    </textPr>
  </connection>
  <connection id="48" xr16:uid="{00000000-0015-0000-FFFF-FFFF2F000000}" name="Verbindung20" type="6" refreshedVersion="0" background="1">
    <textPr prompt="0" sourceFile="C:\Users\Silviam\Desktop\AUSTAUSCH_NETZWERK\VERSICKERUNGSPROGRAMM\ehyd_Regendaten\" decimal="," thousands=".">
      <textFields>
        <textField/>
      </textFields>
    </textPr>
  </connection>
  <connection id="49" xr16:uid="{00000000-0015-0000-FFFF-FFFF30000000}" name="Verbindung21" type="6" refreshedVersion="0" background="1">
    <textPr prompt="0" sourceFile="C:\Users\Silviam\Desktop\AUSTAUSCH_NETZWERK\VERSICKERUNGSPROGRAMM\ehyd_Regendaten\" decimal="," thousands=".">
      <textFields>
        <textField/>
      </textFields>
    </textPr>
  </connection>
  <connection id="50" xr16:uid="{00000000-0015-0000-FFFF-FFFF31000000}" name="Verbindung22" type="6" refreshedVersion="0" background="1">
    <textPr prompt="0" sourceFile="C:\Users\Silviam\Desktop\AUSTAUSCH_NETZWERK\VERSICKERUNGSPROGRAMM\ehyd_Regendaten\" decimal="," thousands=".">
      <textFields>
        <textField/>
      </textFields>
    </textPr>
  </connection>
  <connection id="51" xr16:uid="{00000000-0015-0000-FFFF-FFFF32000000}" name="Verbindung23" type="6" refreshedVersion="0" background="1">
    <textPr prompt="0" sourceFile="C:\Users\Silviam\Desktop\AUSTAUSCH_NETZWERK\VERSICKERUNGSPROGRAMM\ehyd_Regendaten\" decimal="," thousands=".">
      <textFields>
        <textField/>
      </textFields>
    </textPr>
  </connection>
  <connection id="52" xr16:uid="{00000000-0015-0000-FFFF-FFFF33000000}" name="Verbindung24" type="6" refreshedVersion="0" background="1">
    <textPr prompt="0" sourceFile="C:\Users\Silviam\Desktop\AUSTAUSCH_NETZWERK\VERSICKERUNGSPROGRAMM\ehyd_Regendaten\" decimal="," thousands=".">
      <textFields>
        <textField/>
      </textFields>
    </textPr>
  </connection>
  <connection id="53" xr16:uid="{00000000-0015-0000-FFFF-FFFF34000000}" name="Verbindung3" type="6" refreshedVersion="0" background="1">
    <textPr prompt="0" sourceFile="C:\Users\Silviam\Desktop\AUSTAUSCH_NETZWERK\VERSICKERUNGSPROGRAMM\ehyd_Regendaten\" decimal="," thousands=".">
      <textFields>
        <textField/>
      </textFields>
    </textPr>
  </connection>
  <connection id="54" xr16:uid="{00000000-0015-0000-FFFF-FFFF35000000}" name="Verbindung4" type="6" refreshedVersion="0" background="1">
    <textPr prompt="0" sourceFile="C:\Users\Silviam\Desktop\AUSTAUSCH_NETZWERK\VERSICKERUNGSPROGRAMM\ehyd_Regendaten\" decimal="," thousands=".">
      <textFields>
        <textField/>
      </textFields>
    </textPr>
  </connection>
  <connection id="55" xr16:uid="{00000000-0015-0000-FFFF-FFFF36000000}" name="Verbindung5" type="6" refreshedVersion="0" background="1">
    <textPr prompt="0" sourceFile="C:\Users\Silviam\Desktop\AUSTAUSCH_NETZWERK\VERSICKERUNGSPROGRAMM\ehyd_Regendaten\" decimal="," thousands=".">
      <textFields>
        <textField/>
      </textFields>
    </textPr>
  </connection>
  <connection id="56" xr16:uid="{00000000-0015-0000-FFFF-FFFF37000000}" name="Verbindung6" type="6" refreshedVersion="0" background="1">
    <textPr prompt="0" sourceFile="C:\Users\Silviam\Desktop\AUSTAUSCH_NETZWERK\VERSICKERUNGSPROGRAMM\ehyd_Regendaten\" decimal="," thousands=".">
      <textFields>
        <textField/>
      </textFields>
    </textPr>
  </connection>
  <connection id="57" xr16:uid="{00000000-0015-0000-FFFF-FFFF38000000}" name="Verbindung7" type="6" refreshedVersion="0" background="1">
    <textPr prompt="0" sourceFile="C:\Users\Silviam\Desktop\AUSTAUSCH_NETZWERK\VERSICKERUNGSPROGRAMM\ehyd_Regendaten\" decimal="," thousands=".">
      <textFields>
        <textField/>
      </textFields>
    </textPr>
  </connection>
  <connection id="58" xr16:uid="{00000000-0015-0000-FFFF-FFFF39000000}" name="Verbindung8" type="6" refreshedVersion="0" background="1">
    <textPr prompt="0" sourceFile="C:\Users\Silviam\Desktop\AUSTAUSCH_NETZWERK\VERSICKERUNGSPROGRAMM\ehyd_Regendaten\" decimal="," thousands=".">
      <textFields>
        <textField/>
      </textFields>
    </textPr>
  </connection>
  <connection id="59" xr16:uid="{00000000-0015-0000-FFFF-FFFF3A000000}" name="Verbindung9" type="6" refreshedVersion="0" background="1">
    <textPr prompt="0" sourceFile="C:\Users\Silviam\Desktop\AUSTAUSCH_NETZWERK\VERSICKERUNGSPROGRAMM\ehyd_Regendaten\" decimal="," thousands=".">
      <textFields>
        <textField/>
      </textFields>
    </textPr>
  </connection>
</connections>
</file>

<file path=xl/sharedStrings.xml><?xml version="1.0" encoding="utf-8"?>
<sst xmlns="http://schemas.openxmlformats.org/spreadsheetml/2006/main" count="1110" uniqueCount="513">
  <si>
    <t>Bemessungsniederschlag</t>
  </si>
  <si>
    <t>DAUER</t>
  </si>
  <si>
    <t>MIN</t>
  </si>
  <si>
    <t>5 min.</t>
  </si>
  <si>
    <t>15 min.</t>
  </si>
  <si>
    <t>20 min.</t>
  </si>
  <si>
    <t>45 min.</t>
  </si>
  <si>
    <t>30 min.</t>
  </si>
  <si>
    <t>60 min.</t>
  </si>
  <si>
    <t>90 min.</t>
  </si>
  <si>
    <t>2 h</t>
  </si>
  <si>
    <t>3 h</t>
  </si>
  <si>
    <t>4 h</t>
  </si>
  <si>
    <t>6 h</t>
  </si>
  <si>
    <t>9 h</t>
  </si>
  <si>
    <t>12 h</t>
  </si>
  <si>
    <t>18 h</t>
  </si>
  <si>
    <t>1 d</t>
  </si>
  <si>
    <t>2 d</t>
  </si>
  <si>
    <t>3 d</t>
  </si>
  <si>
    <t>4 d</t>
  </si>
  <si>
    <t>5 d</t>
  </si>
  <si>
    <t>6 d</t>
  </si>
  <si>
    <t>Art der Entwässerungsfläche</t>
  </si>
  <si>
    <t>Bodenart</t>
  </si>
  <si>
    <t>Kies</t>
  </si>
  <si>
    <t>sandiger Kies</t>
  </si>
  <si>
    <t>Mittelsand</t>
  </si>
  <si>
    <t>humoser Oberboden</t>
  </si>
  <si>
    <t>schluffiger Sand</t>
  </si>
  <si>
    <t>toniger Schluff</t>
  </si>
  <si>
    <t>m/s</t>
  </si>
  <si>
    <t>mm/min</t>
  </si>
  <si>
    <r>
      <t>10</t>
    </r>
    <r>
      <rPr>
        <vertAlign val="superscript"/>
        <sz val="10"/>
        <rFont val="Arial"/>
        <family val="2"/>
      </rPr>
      <t>-1</t>
    </r>
    <r>
      <rPr>
        <sz val="10"/>
        <rFont val="Arial"/>
        <family val="2"/>
      </rPr>
      <t xml:space="preserve"> bis 10</t>
    </r>
    <r>
      <rPr>
        <vertAlign val="superscript"/>
        <sz val="10"/>
        <rFont val="Arial"/>
        <family val="2"/>
      </rPr>
      <t>-3</t>
    </r>
  </si>
  <si>
    <r>
      <t>10</t>
    </r>
    <r>
      <rPr>
        <vertAlign val="superscript"/>
        <sz val="10"/>
        <rFont val="Arial"/>
        <family val="2"/>
      </rPr>
      <t>-3</t>
    </r>
    <r>
      <rPr>
        <sz val="10"/>
        <rFont val="Arial"/>
        <family val="2"/>
      </rPr>
      <t xml:space="preserve"> bis 10</t>
    </r>
    <r>
      <rPr>
        <vertAlign val="superscript"/>
        <sz val="10"/>
        <rFont val="Arial"/>
        <family val="2"/>
      </rPr>
      <t>-4</t>
    </r>
  </si>
  <si>
    <r>
      <t>10</t>
    </r>
    <r>
      <rPr>
        <vertAlign val="superscript"/>
        <sz val="10"/>
        <rFont val="Arial"/>
        <family val="2"/>
      </rPr>
      <t>-3</t>
    </r>
    <r>
      <rPr>
        <sz val="10"/>
        <rFont val="Arial"/>
        <family val="2"/>
      </rPr>
      <t xml:space="preserve"> bis 10</t>
    </r>
    <r>
      <rPr>
        <vertAlign val="superscript"/>
        <sz val="10"/>
        <rFont val="Arial"/>
        <family val="2"/>
      </rPr>
      <t>-5</t>
    </r>
  </si>
  <si>
    <r>
      <t>10</t>
    </r>
    <r>
      <rPr>
        <vertAlign val="superscript"/>
        <sz val="10"/>
        <rFont val="Arial"/>
        <family val="2"/>
      </rPr>
      <t>-3</t>
    </r>
    <r>
      <rPr>
        <sz val="10"/>
        <rFont val="Arial"/>
        <family val="2"/>
      </rPr>
      <t xml:space="preserve"> bis 10</t>
    </r>
    <r>
      <rPr>
        <vertAlign val="superscript"/>
        <sz val="10"/>
        <rFont val="Arial"/>
        <family val="2"/>
      </rPr>
      <t>-6</t>
    </r>
  </si>
  <si>
    <r>
      <t>10</t>
    </r>
    <r>
      <rPr>
        <vertAlign val="superscript"/>
        <sz val="10"/>
        <rFont val="Arial"/>
        <family val="2"/>
      </rPr>
      <t>-5</t>
    </r>
    <r>
      <rPr>
        <sz val="10"/>
        <rFont val="Arial"/>
        <family val="2"/>
      </rPr>
      <t xml:space="preserve"> bis 10-</t>
    </r>
    <r>
      <rPr>
        <vertAlign val="superscript"/>
        <sz val="10"/>
        <rFont val="Arial"/>
        <family val="2"/>
      </rPr>
      <t>7</t>
    </r>
  </si>
  <si>
    <r>
      <t>10</t>
    </r>
    <r>
      <rPr>
        <vertAlign val="superscript"/>
        <sz val="10"/>
        <rFont val="Arial"/>
        <family val="2"/>
      </rPr>
      <t>-6</t>
    </r>
    <r>
      <rPr>
        <sz val="10"/>
        <rFont val="Arial"/>
        <family val="2"/>
      </rPr>
      <t xml:space="preserve"> bis 10</t>
    </r>
    <r>
      <rPr>
        <vertAlign val="superscript"/>
        <sz val="10"/>
        <rFont val="Arial"/>
        <family val="2"/>
      </rPr>
      <t>-9</t>
    </r>
  </si>
  <si>
    <r>
      <t>10</t>
    </r>
    <r>
      <rPr>
        <vertAlign val="superscript"/>
        <sz val="10"/>
        <rFont val="Arial"/>
        <family val="2"/>
      </rPr>
      <t>-7</t>
    </r>
    <r>
      <rPr>
        <sz val="10"/>
        <rFont val="Arial"/>
        <family val="2"/>
      </rPr>
      <t xml:space="preserve"> bis 10</t>
    </r>
    <r>
      <rPr>
        <vertAlign val="superscript"/>
        <sz val="10"/>
        <rFont val="Arial"/>
        <family val="2"/>
      </rPr>
      <t>-11</t>
    </r>
  </si>
  <si>
    <t>6000 bis 60</t>
  </si>
  <si>
    <t>60 bis 6</t>
  </si>
  <si>
    <t>60 bis 0,6</t>
  </si>
  <si>
    <t>60 bis 0,06</t>
  </si>
  <si>
    <t>0,6 bis 0,006</t>
  </si>
  <si>
    <t>0,06 bis 0,00006</t>
  </si>
  <si>
    <t>0,006 bis 0,00006</t>
  </si>
  <si>
    <r>
      <t>k</t>
    </r>
    <r>
      <rPr>
        <b/>
        <vertAlign val="subscript"/>
        <sz val="10"/>
        <rFont val="Arial"/>
        <family val="2"/>
      </rPr>
      <t>f</t>
    </r>
    <r>
      <rPr>
        <b/>
        <sz val="10"/>
        <rFont val="Arial"/>
        <family val="2"/>
      </rPr>
      <t xml:space="preserve"> bzw. v</t>
    </r>
    <r>
      <rPr>
        <b/>
        <vertAlign val="subscript"/>
        <sz val="10"/>
        <rFont val="Arial"/>
        <family val="2"/>
      </rPr>
      <t>f</t>
    </r>
  </si>
  <si>
    <t>Schluff</t>
  </si>
  <si>
    <t>abflusswirksame beregnete Gesamtfläche</t>
  </si>
  <si>
    <t>Gitterpunkt</t>
  </si>
  <si>
    <t>Sicherheitsbeiwert</t>
  </si>
  <si>
    <t>Jährlichkeit</t>
  </si>
  <si>
    <t>Jährlichkeit B</t>
  </si>
  <si>
    <t>Jährlichkeit A</t>
  </si>
  <si>
    <t>Jährlichkeit C</t>
  </si>
  <si>
    <t>VERSICKERUNGSMULDEN UND -BECKEN, RASENFLÄCHE</t>
  </si>
  <si>
    <t>Teilfläche 1</t>
  </si>
  <si>
    <t>Teilfläche 2</t>
  </si>
  <si>
    <t>Teilfläche 3</t>
  </si>
  <si>
    <t>Teilfläche 4</t>
  </si>
  <si>
    <t>Teilfläche 5</t>
  </si>
  <si>
    <t>Information:</t>
  </si>
  <si>
    <t>Link:</t>
  </si>
  <si>
    <t>BEMESSUNGSREGENDATEN</t>
  </si>
  <si>
    <t>mindestens erforderliches Retentionsvolumen [m³]</t>
  </si>
  <si>
    <t>β</t>
  </si>
  <si>
    <t>Maßgebliches Regenereignis</t>
  </si>
  <si>
    <t>Berechnung Retentionsvolumen</t>
  </si>
  <si>
    <t>Hinweis zur Bedienung:</t>
  </si>
  <si>
    <r>
      <t xml:space="preserve">Sicherheitsbeiwert </t>
    </r>
    <r>
      <rPr>
        <b/>
        <sz val="10"/>
        <color indexed="8"/>
        <rFont val="Calibri"/>
        <family val="2"/>
      </rPr>
      <t>β</t>
    </r>
  </si>
  <si>
    <r>
      <t>A</t>
    </r>
    <r>
      <rPr>
        <vertAlign val="subscript"/>
        <sz val="9"/>
        <rFont val="Arial"/>
        <family val="2"/>
      </rPr>
      <t>ent</t>
    </r>
  </si>
  <si>
    <t>0 min</t>
  </si>
  <si>
    <t>abflusswirksame  beregnete Gesamtfläche</t>
  </si>
  <si>
    <t>Abkürz.</t>
  </si>
  <si>
    <t>Einheit</t>
  </si>
  <si>
    <t>m²</t>
  </si>
  <si>
    <r>
      <t>A</t>
    </r>
    <r>
      <rPr>
        <vertAlign val="subscript"/>
        <sz val="9"/>
        <rFont val="Arial"/>
        <family val="2"/>
      </rPr>
      <t>n</t>
    </r>
  </si>
  <si>
    <t>Horizontalprojektion der jeweiligen Teilentwässerungsfläche</t>
  </si>
  <si>
    <t>jeweiliger zugehöriger Abflussbeiwert</t>
  </si>
  <si>
    <r>
      <rPr>
        <sz val="9"/>
        <rFont val="Times New Roman"/>
        <family val="1"/>
      </rPr>
      <t>α</t>
    </r>
    <r>
      <rPr>
        <vertAlign val="subscript"/>
        <sz val="9"/>
        <rFont val="Arial"/>
        <family val="2"/>
      </rPr>
      <t>n</t>
    </r>
  </si>
  <si>
    <t>-</t>
  </si>
  <si>
    <t>Entwässerungsfäche (Einzugsfläche)</t>
  </si>
  <si>
    <r>
      <t>A</t>
    </r>
    <r>
      <rPr>
        <vertAlign val="subscript"/>
        <sz val="9"/>
        <rFont val="Arial"/>
        <family val="2"/>
      </rPr>
      <t>red</t>
    </r>
  </si>
  <si>
    <r>
      <t>A</t>
    </r>
    <r>
      <rPr>
        <vertAlign val="subscript"/>
        <sz val="9"/>
        <rFont val="Arial"/>
        <family val="2"/>
      </rPr>
      <t>s</t>
    </r>
  </si>
  <si>
    <t>m</t>
  </si>
  <si>
    <t>Stauhöhe</t>
  </si>
  <si>
    <r>
      <t>h</t>
    </r>
    <r>
      <rPr>
        <vertAlign val="subscript"/>
        <sz val="9"/>
        <rFont val="Arial"/>
        <family val="2"/>
      </rPr>
      <t>s</t>
    </r>
  </si>
  <si>
    <t>h</t>
  </si>
  <si>
    <t>mm</t>
  </si>
  <si>
    <t>Durchlässigkeitsbeiwert</t>
  </si>
  <si>
    <r>
      <t>k</t>
    </r>
    <r>
      <rPr>
        <vertAlign val="subscript"/>
        <sz val="9"/>
        <rFont val="Arial"/>
        <family val="2"/>
      </rPr>
      <t>f</t>
    </r>
  </si>
  <si>
    <t>Regenhöhe</t>
  </si>
  <si>
    <r>
      <t>q</t>
    </r>
    <r>
      <rPr>
        <vertAlign val="subscript"/>
        <sz val="9"/>
        <rFont val="Arial"/>
        <family val="2"/>
      </rPr>
      <t>r</t>
    </r>
  </si>
  <si>
    <t>mm (l/m²)</t>
  </si>
  <si>
    <r>
      <t>v</t>
    </r>
    <r>
      <rPr>
        <vertAlign val="subscript"/>
        <sz val="9"/>
        <rFont val="Arial"/>
        <family val="2"/>
      </rPr>
      <t>f</t>
    </r>
  </si>
  <si>
    <t>erforderliches Speichervolumen</t>
  </si>
  <si>
    <t>m³</t>
  </si>
  <si>
    <r>
      <t>V</t>
    </r>
    <r>
      <rPr>
        <vertAlign val="subscript"/>
        <sz val="9"/>
        <rFont val="Arial"/>
        <family val="2"/>
      </rPr>
      <t>s</t>
    </r>
  </si>
  <si>
    <t>Sicherheitsbeiwert zur Berücksichtigung einer Verschlammung</t>
  </si>
  <si>
    <t>Faktor für Sickerfähigkeit</t>
  </si>
  <si>
    <t>ERGEBNIS / BERECHNUNG</t>
  </si>
  <si>
    <t>SICKERSCHACHT</t>
  </si>
  <si>
    <t>Rigolenlänge [m]</t>
  </si>
  <si>
    <t>Rigolenbreite [m]</t>
  </si>
  <si>
    <t>Rigolenhöhe [m]</t>
  </si>
  <si>
    <t>EINGABEN</t>
  </si>
  <si>
    <t>UNTERIRDISCHE SICKERKÖRPER / RIGOLENVERSICKERUNG</t>
  </si>
  <si>
    <t>Sickerfähigkeit Filter</t>
  </si>
  <si>
    <t>Wandstärke Schacht [m]</t>
  </si>
  <si>
    <r>
      <t>mindestens erforderliche Stauhöhe im Schacht h</t>
    </r>
    <r>
      <rPr>
        <vertAlign val="subscript"/>
        <sz val="9"/>
        <color indexed="8"/>
        <rFont val="Arial"/>
        <family val="2"/>
      </rPr>
      <t>s,erf</t>
    </r>
  </si>
  <si>
    <t>Zuschlagsfaktor</t>
  </si>
  <si>
    <t>Abminderungsfaktor</t>
  </si>
  <si>
    <t>erford. Speicher-volumen Vs [m³]</t>
  </si>
  <si>
    <r>
      <t>Regenhöhe q</t>
    </r>
    <r>
      <rPr>
        <b/>
        <vertAlign val="subscript"/>
        <sz val="8"/>
        <rFont val="Arial"/>
        <family val="2"/>
      </rPr>
      <t>r</t>
    </r>
    <r>
      <rPr>
        <b/>
        <sz val="8"/>
        <rFont val="Arial"/>
        <family val="2"/>
      </rPr>
      <t xml:space="preserve"> [l/m²]</t>
    </r>
  </si>
  <si>
    <r>
      <t>k</t>
    </r>
    <r>
      <rPr>
        <vertAlign val="subscript"/>
        <sz val="8"/>
        <rFont val="Arial"/>
        <family val="2"/>
      </rPr>
      <t>f1</t>
    </r>
  </si>
  <si>
    <r>
      <t>k</t>
    </r>
    <r>
      <rPr>
        <vertAlign val="subscript"/>
        <sz val="8"/>
        <color indexed="8"/>
        <rFont val="Calibri"/>
        <family val="2"/>
      </rPr>
      <t>f2</t>
    </r>
  </si>
  <si>
    <r>
      <t>A</t>
    </r>
    <r>
      <rPr>
        <vertAlign val="subscript"/>
        <sz val="8"/>
        <rFont val="Arial"/>
        <family val="2"/>
      </rPr>
      <t>red</t>
    </r>
  </si>
  <si>
    <t>Sickerfähigkeit des Bodenfilters</t>
  </si>
  <si>
    <t>Bearbeiter:</t>
  </si>
  <si>
    <t>Bemerkungen:</t>
  </si>
  <si>
    <t>Projektbezeichnung:</t>
  </si>
  <si>
    <t>ALLGEMEINE PROJEKTDATEN</t>
  </si>
  <si>
    <r>
      <t>A</t>
    </r>
    <r>
      <rPr>
        <b/>
        <vertAlign val="subscript"/>
        <sz val="8"/>
        <color indexed="8"/>
        <rFont val="Arial"/>
        <family val="2"/>
      </rPr>
      <t>n</t>
    </r>
    <r>
      <rPr>
        <b/>
        <sz val="8"/>
        <color indexed="8"/>
        <rFont val="Arial"/>
        <family val="2"/>
      </rPr>
      <t xml:space="preserve"> [m²]</t>
    </r>
  </si>
  <si>
    <r>
      <t>Teileinzugsflächen  A</t>
    </r>
    <r>
      <rPr>
        <b/>
        <vertAlign val="subscript"/>
        <sz val="8"/>
        <color indexed="8"/>
        <rFont val="Arial"/>
        <family val="2"/>
      </rPr>
      <t>red</t>
    </r>
    <r>
      <rPr>
        <b/>
        <sz val="8"/>
        <color indexed="8"/>
        <rFont val="Arial"/>
        <family val="2"/>
      </rPr>
      <t xml:space="preserve"> [m²]</t>
    </r>
  </si>
  <si>
    <t>Versickerungsrate</t>
  </si>
  <si>
    <t>erford. Speicherkapazität</t>
  </si>
  <si>
    <r>
      <t>Abfluss-beiwert α</t>
    </r>
    <r>
      <rPr>
        <b/>
        <vertAlign val="subscript"/>
        <sz val="8"/>
        <color indexed="8"/>
        <rFont val="Arial"/>
        <family val="2"/>
      </rPr>
      <t>n</t>
    </r>
  </si>
  <si>
    <t>GESAMTEINZUGSFLÄCHE</t>
  </si>
  <si>
    <r>
      <t>k</t>
    </r>
    <r>
      <rPr>
        <vertAlign val="subscript"/>
        <sz val="8"/>
        <rFont val="Arial"/>
        <family val="2"/>
      </rPr>
      <t>f</t>
    </r>
  </si>
  <si>
    <r>
      <t>A</t>
    </r>
    <r>
      <rPr>
        <vertAlign val="subscript"/>
        <sz val="8"/>
        <rFont val="Arial"/>
        <family val="2"/>
      </rPr>
      <t>ent</t>
    </r>
  </si>
  <si>
    <t>Schachtdurchmesser innen [m]</t>
  </si>
  <si>
    <r>
      <t>d</t>
    </r>
    <r>
      <rPr>
        <vertAlign val="subscript"/>
        <sz val="8"/>
        <color indexed="8"/>
        <rFont val="Calibri"/>
        <family val="2"/>
      </rPr>
      <t>S</t>
    </r>
  </si>
  <si>
    <t>Zuschlagsfaktor gemäß DWA A 138</t>
  </si>
  <si>
    <r>
      <t>f</t>
    </r>
    <r>
      <rPr>
        <vertAlign val="subscript"/>
        <sz val="9"/>
        <rFont val="Calibri"/>
        <family val="2"/>
      </rPr>
      <t>z</t>
    </r>
  </si>
  <si>
    <t xml:space="preserve">Zuschlagsfaktor </t>
  </si>
  <si>
    <r>
      <t>f</t>
    </r>
    <r>
      <rPr>
        <vertAlign val="subscript"/>
        <sz val="8"/>
        <rFont val="Arial"/>
        <family val="2"/>
      </rPr>
      <t>z</t>
    </r>
  </si>
  <si>
    <t>wirksame Sickerfläche / Versickerungsfläche</t>
  </si>
  <si>
    <t>Entwässerungsfläche / Einzugsfläche</t>
  </si>
  <si>
    <t>Einstauhöhe [m]</t>
  </si>
  <si>
    <t>Entleerungszeit</t>
  </si>
  <si>
    <t>Einzugsflächen</t>
  </si>
  <si>
    <t>qv</t>
  </si>
  <si>
    <t>qs</t>
  </si>
  <si>
    <t>Rechenwert für Durchlässigkeitsbeiwert im ungesättigten Untergrund</t>
  </si>
  <si>
    <r>
      <t>k</t>
    </r>
    <r>
      <rPr>
        <vertAlign val="subscript"/>
        <sz val="9"/>
        <rFont val="Arial"/>
        <family val="2"/>
      </rPr>
      <t>fu</t>
    </r>
  </si>
  <si>
    <t>Sickerschacht</t>
  </si>
  <si>
    <t>Zulauftiefe [m]</t>
  </si>
  <si>
    <r>
      <t>Z</t>
    </r>
    <r>
      <rPr>
        <vertAlign val="subscript"/>
        <sz val="8"/>
        <color indexed="8"/>
        <rFont val="Calibri"/>
        <family val="2"/>
      </rPr>
      <t>t</t>
    </r>
  </si>
  <si>
    <t>Zulauftiefe</t>
  </si>
  <si>
    <r>
      <t>Z</t>
    </r>
    <r>
      <rPr>
        <vertAlign val="subscript"/>
        <sz val="9"/>
        <rFont val="Calibri"/>
        <family val="2"/>
      </rPr>
      <t>t</t>
    </r>
  </si>
  <si>
    <t>erford. Speicherkapazität Schacht</t>
  </si>
  <si>
    <t>Versickerungsrate Schacht</t>
  </si>
  <si>
    <t>Versickerungsrate Baugrube</t>
  </si>
  <si>
    <t>Sickeranlage</t>
  </si>
  <si>
    <t>Abstand Sohle Sickerschacht zu Baugrubensohle</t>
  </si>
  <si>
    <t>erforderliche Baugrubentiefe</t>
  </si>
  <si>
    <t>p</t>
  </si>
  <si>
    <t>nutzbarer Porenanteil des Füllmaterials</t>
  </si>
  <si>
    <t>ja</t>
  </si>
  <si>
    <t>nein</t>
  </si>
  <si>
    <t>Abflussrate (Drossel)</t>
  </si>
  <si>
    <t>Zufluss</t>
  </si>
  <si>
    <t>Zufluss - Abfluss</t>
  </si>
  <si>
    <t>Zusatzinformationen</t>
  </si>
  <si>
    <t>Eingabefeld</t>
  </si>
  <si>
    <t>wird automatisch berechnet</t>
  </si>
  <si>
    <t>Benutzer muss Eingabe tätigen</t>
  </si>
  <si>
    <t>Kommentar</t>
  </si>
  <si>
    <t>Feld enthält ein Kommentar, dieses erscheint, wenn man mit dem Mauszeiger über das entsprechende Feld fährt</t>
  </si>
  <si>
    <t>Untergrund im Bereich der Wand der Rigole gut sickerfähig                                            (lt. DWA A 138)</t>
  </si>
  <si>
    <t>qv1</t>
  </si>
  <si>
    <t>qv2</t>
  </si>
  <si>
    <t>qs1</t>
  </si>
  <si>
    <t>qs2</t>
  </si>
  <si>
    <t>Gewählte Jährlichkeit</t>
  </si>
  <si>
    <t>10 min.</t>
  </si>
  <si>
    <r>
      <t>R</t>
    </r>
    <r>
      <rPr>
        <vertAlign val="subscript"/>
        <sz val="8"/>
        <color indexed="8"/>
        <rFont val="Arial"/>
        <family val="2"/>
      </rPr>
      <t>L</t>
    </r>
  </si>
  <si>
    <r>
      <t>R</t>
    </r>
    <r>
      <rPr>
        <vertAlign val="subscript"/>
        <sz val="8"/>
        <color indexed="8"/>
        <rFont val="Calibri"/>
        <family val="2"/>
      </rPr>
      <t>B</t>
    </r>
  </si>
  <si>
    <r>
      <t>R</t>
    </r>
    <r>
      <rPr>
        <vertAlign val="subscript"/>
        <sz val="8"/>
        <color indexed="8"/>
        <rFont val="Calibri"/>
        <family val="2"/>
      </rPr>
      <t>H</t>
    </r>
  </si>
  <si>
    <r>
      <t>Q</t>
    </r>
    <r>
      <rPr>
        <vertAlign val="subscript"/>
        <sz val="8"/>
        <rFont val="Arial"/>
        <family val="2"/>
      </rPr>
      <t>D</t>
    </r>
  </si>
  <si>
    <r>
      <t>f</t>
    </r>
    <r>
      <rPr>
        <vertAlign val="subscript"/>
        <sz val="8"/>
        <color indexed="8"/>
        <rFont val="Arial"/>
        <family val="2"/>
      </rPr>
      <t>a</t>
    </r>
  </si>
  <si>
    <t>Testprojekt</t>
  </si>
  <si>
    <t>2. Analyse der Regelwerke zur Versickerung von Niederschlagswässern</t>
  </si>
  <si>
    <t xml:space="preserve">Nachfolgend sind relevante Bemessungsparameter der in Österreich angewendeten Regelwerke aufgelistet. </t>
  </si>
  <si>
    <t xml:space="preserve">• DWA A138 </t>
  </si>
  <si>
    <r>
      <rPr>
        <b/>
        <sz val="9"/>
        <rFont val="Arial"/>
        <family val="2"/>
      </rPr>
      <t>Pkt. 3.1.3 Qualitative Anforderungen:</t>
    </r>
    <r>
      <rPr>
        <sz val="9"/>
        <rFont val="Arial"/>
        <family val="2"/>
      </rPr>
      <t xml:space="preserve"> bei kf  &gt; 1*10-3 m/s keine genügende Reinigung durch chemische und biologische Vorgänge; bei kf  &lt; 1*10-6 m/s keine ausreichende Versickerung</t>
    </r>
  </si>
  <si>
    <r>
      <rPr>
        <b/>
        <sz val="9"/>
        <rFont val="Arial"/>
        <family val="2"/>
      </rPr>
      <t xml:space="preserve">Pkt. 3.2.3 Bemessungsgrundsätze: </t>
    </r>
    <r>
      <rPr>
        <sz val="9"/>
        <rFont val="Arial"/>
        <family val="2"/>
      </rPr>
      <t xml:space="preserve">
Durchlässigkeitsbeiwert für ungesättigten Zustand kf,u = kf/2
Zuschlagsfaktor nach DWA-A 117 fZ = 1,1 – 1,2;
</t>
    </r>
  </si>
  <si>
    <r>
      <rPr>
        <b/>
        <sz val="9"/>
        <rFont val="Arial"/>
        <family val="2"/>
      </rPr>
      <t xml:space="preserve">Pkt. 3.3.6 Versickerungsbecken: </t>
    </r>
    <r>
      <rPr>
        <sz val="9"/>
        <rFont val="Arial"/>
        <family val="2"/>
      </rPr>
      <t xml:space="preserve">
Becken ohne vorgeschaltete Sedimentationsanlage: Verringerung der Durchlässigkeit der Sohlfläche (ohne Böschungen) des Versickerungsbeckens  auf 1/5. 
</t>
    </r>
  </si>
  <si>
    <r>
      <rPr>
        <b/>
        <sz val="10"/>
        <rFont val="Arial"/>
        <family val="2"/>
      </rPr>
      <t xml:space="preserve">Pkt. 7.1.3: </t>
    </r>
    <r>
      <rPr>
        <sz val="10"/>
        <rFont val="Arial"/>
        <family val="2"/>
      </rPr>
      <t>Für Systeme mit Bodenfilter sollte ein kf-Wert von 1*10-5 m/s in der Dimensionierung verwendet  werden.</t>
    </r>
  </si>
  <si>
    <t>• ÖWAV-Regelblatt 45</t>
  </si>
  <si>
    <t>• ÖNORM B 2506-1</t>
  </si>
  <si>
    <r>
      <rPr>
        <b/>
        <sz val="10"/>
        <rFont val="Arial"/>
        <family val="2"/>
      </rPr>
      <t>Pkt.6.2.1:</t>
    </r>
    <r>
      <rPr>
        <sz val="10"/>
        <rFont val="Arial"/>
        <family val="2"/>
      </rPr>
      <t xml:space="preserve"> Sicherheitsbeiwert ß zur Berücksichtigung der Verschlammung ist in der Regel mit 0,5 anzusetzen (Verringerung der Durchlässigkeit der gesamten mittleren Versickerungsfläche von Mulden und Becken samt der sickerwirksamen Böschungen  auf 1/2). Besteht jedoch eine Anlage zum Feststoffrückhalt vor der Sickeranlage, darf ß=1 gesetzt werden.</t>
    </r>
  </si>
  <si>
    <t>• ÖNORM B 2506-2</t>
  </si>
  <si>
    <r>
      <rPr>
        <b/>
        <sz val="10"/>
        <rFont val="Arial"/>
        <family val="2"/>
      </rPr>
      <t>Pkt. 6.3.1.1:</t>
    </r>
    <r>
      <rPr>
        <sz val="10"/>
        <rFont val="Arial"/>
        <family val="2"/>
      </rPr>
      <t xml:space="preserve"> Natürlicher Bodenfilter kf = 1*10-4 bis 1*10-5 m/s</t>
    </r>
  </si>
  <si>
    <r>
      <rPr>
        <b/>
        <sz val="10"/>
        <rFont val="Arial"/>
        <family val="2"/>
      </rPr>
      <t>Pkt. 6.3.1.2:</t>
    </r>
    <r>
      <rPr>
        <sz val="10"/>
        <rFont val="Arial"/>
        <family val="2"/>
      </rPr>
      <t xml:space="preserve"> Technischer Bodenfilter kf &lt;= 1*10-3 m/s</t>
    </r>
  </si>
  <si>
    <t>• RVS 04.04.11 Gewässerschutz an Straßen</t>
  </si>
  <si>
    <t>3. Bemessungsrelevante Ableitungen aus der Analyse der Regelwerke</t>
  </si>
  <si>
    <r>
      <rPr>
        <b/>
        <sz val="9"/>
        <rFont val="Arial"/>
        <family val="2"/>
      </rPr>
      <t>Pkt. 4.3.6:</t>
    </r>
    <r>
      <rPr>
        <sz val="9"/>
        <rFont val="Arial"/>
        <family val="2"/>
      </rPr>
      <t xml:space="preserve"> Bodenfilter kf = 1*10-4 bis 1*10-5 m/s </t>
    </r>
  </si>
  <si>
    <r>
      <rPr>
        <b/>
        <sz val="9"/>
        <rFont val="Arial"/>
        <family val="2"/>
      </rPr>
      <t>Pkt. 5.2.2: Bodenfiltermulden:</t>
    </r>
    <r>
      <rPr>
        <sz val="9"/>
        <rFont val="Arial"/>
        <family val="2"/>
      </rPr>
      <t xml:space="preserve"> kf ist höchstens mit 10-5 m/s anzusetzen; bei n=1 Entleerungszeit max. 24 h
Rasenmulden: kf ist zwischen 1*10-4 bis 1*10-5 m/s anzusetzen; bei n=1 Entleerungszeit max. 24 h
</t>
    </r>
  </si>
  <si>
    <r>
      <rPr>
        <b/>
        <sz val="9"/>
        <rFont val="Arial"/>
        <family val="2"/>
      </rPr>
      <t xml:space="preserve">Pkt. 5.2.3: </t>
    </r>
    <r>
      <rPr>
        <sz val="9"/>
        <rFont val="Arial"/>
        <family val="2"/>
      </rPr>
      <t>Bemessung von Bodenfilterbecken: Es ist ein kf von 1*10-5 m/s anzusetzen; bei n=5 Entleerungszeit max. 48 h</t>
    </r>
  </si>
  <si>
    <r>
      <rPr>
        <b/>
        <sz val="10"/>
        <rFont val="Arial"/>
        <family val="2"/>
      </rPr>
      <t>Zuschlagsfaktor f</t>
    </r>
    <r>
      <rPr>
        <b/>
        <vertAlign val="subscript"/>
        <sz val="10"/>
        <rFont val="Arial"/>
        <family val="2"/>
      </rPr>
      <t>Z</t>
    </r>
    <r>
      <rPr>
        <b/>
        <sz val="10"/>
        <rFont val="Arial"/>
        <family val="2"/>
      </rPr>
      <t xml:space="preserve"> bei Bodenfiltern:</t>
    </r>
    <r>
      <rPr>
        <sz val="10"/>
        <rFont val="Arial"/>
        <family val="2"/>
      </rPr>
      <t xml:space="preserve"> Die Wahl des kf-Wertes hat den mit Abstand größten Einfluss auf die Bemessung von Bodenfilteranlagen. Wenn der kf-Wert auf der sicheren Seite liegend mit 1*10-5 m/s gewählt wird, kann der Zuschlagsfaktor fZ auch unter Berücksichtigung der längeren Regenreihen des EHYD mit 1,0 angesetzt werden.</t>
    </r>
  </si>
  <si>
    <t xml:space="preserve">Die Anwendung setzt die Kenntnis der relevanten Regelwerke und die Fachkunde des Planers voraus. </t>
  </si>
  <si>
    <t>Bemessung von Bodenfilteranlagen und Retentionsanlagen in Anlehnung an                                                                                                          die ÖNORM B 2506-1, die DWA A 138 und DWA A 117</t>
  </si>
  <si>
    <r>
      <rPr>
        <b/>
        <sz val="10"/>
        <rFont val="Arial"/>
        <family val="2"/>
      </rPr>
      <t xml:space="preserve">Bemessungsregendaten: </t>
    </r>
    <r>
      <rPr>
        <sz val="10"/>
        <rFont val="Arial"/>
        <family val="2"/>
      </rPr>
      <t>Es sind gemäß ÖNORM B 2506-1 und ÖWAV-Regelblatt 45 die 6-Tages-EHYD-Regenreihen der Jährlichkeiten 1 bis 100 des Hydrografischen Zentralbüros des BMLFUW heranzuziehen. Demgegenüber verwendet das DWA-A 138 die 3-Tages-KOSTRA-Niederschlagsdaten des Deutschen Wetterdienstes.</t>
    </r>
  </si>
  <si>
    <r>
      <t>k</t>
    </r>
    <r>
      <rPr>
        <vertAlign val="subscript"/>
        <sz val="8"/>
        <rFont val="Arial"/>
        <family val="2"/>
      </rPr>
      <t>fu</t>
    </r>
    <r>
      <rPr>
        <sz val="8"/>
        <rFont val="Arial"/>
        <family val="2"/>
      </rPr>
      <t>/k</t>
    </r>
    <r>
      <rPr>
        <vertAlign val="subscript"/>
        <sz val="8"/>
        <rFont val="Arial"/>
        <family val="2"/>
      </rPr>
      <t>f</t>
    </r>
  </si>
  <si>
    <t>Ausgabefeld</t>
  </si>
  <si>
    <r>
      <t>A</t>
    </r>
    <r>
      <rPr>
        <vertAlign val="subscript"/>
        <sz val="8"/>
        <rFont val="Arial"/>
        <family val="2"/>
      </rPr>
      <t>s</t>
    </r>
  </si>
  <si>
    <t>Grünflächen ohne wirksame Versickerungsflächen</t>
  </si>
  <si>
    <r>
      <rPr>
        <b/>
        <sz val="10"/>
        <rFont val="Arial"/>
        <family val="2"/>
      </rPr>
      <t>Wahl der Jährlichkeiten bei Bodenfilteranlagen:</t>
    </r>
    <r>
      <rPr>
        <sz val="10"/>
        <rFont val="Arial"/>
        <family val="2"/>
      </rPr>
      <t xml:space="preserve"> Im Bemessungsblatt ist die Berechnung mit 3 Jährlichkeiten vorgesehen.
• Jährlichkeit n=1 für den Nachweis der Entleerungszeit &lt; 24 Stunden
• Bemessungsjährlichkeit für Dimensionierung der Anlage. Die Jährlichkeit ist unter Berücksichtigung des Störfallpotentials bei Überflutungen des Anlagenumfeldes festzulegen (z.B. ÖNORM EN 752). Als Mindestbemessung ist ein 5-jährliches Bemessungsereignis der Berechnung zugrunde zu legen (ÖNORM B 2506-1)
• Überflutungsnachweis für seltene Regenereignisse (z.B. n=30): Es ist erforderlichenfalls nachzuweisen, dass das gewählte Regenereignis vollständig retentiert werden kann, wobei der schadlose Einstau von Anlagen (z.B. Park- und Verkehrsflächen) zulässig ist. 
</t>
    </r>
  </si>
  <si>
    <t>Flachdach</t>
  </si>
  <si>
    <t>Stufenfilter oder Geotextil [m]</t>
  </si>
  <si>
    <t>s</t>
  </si>
  <si>
    <t>Wandstärke Sickerschacht</t>
  </si>
  <si>
    <t>Porenvolumen Schotterkörper</t>
  </si>
  <si>
    <r>
      <rPr>
        <b/>
        <sz val="10"/>
        <rFont val="Arial"/>
        <family val="2"/>
      </rPr>
      <t>Durchlässigkeitsbeiwert für ungesättigten Zustand:</t>
    </r>
    <r>
      <rPr>
        <sz val="10"/>
        <rFont val="Arial"/>
        <family val="2"/>
      </rPr>
      <t xml:space="preserve"> Im Kommentar zur DWA-A 138, Pkt. 3.2.3 ist u.a. angeführt: 
• Die Wasserdurchlässigkeit von Böden ist abhängig vom Wassergehalt; 
• ein trockener Boden hat theoretisch keine Wasserdurchlässigkeit; 
• Mit zunehmendem Wassergehalt nähert sich die Wasserdurchlässigkeit dem kf-Wert eines gesättigten Bodens. 
• Die DWA-A 138 rechnet mit einem konstanten kf,u = kf/2 mit dem Ziel, für die Zukunft eine funktionierende Versickerungsanlage zu dimensionieren. 
Dabei bleibt unberücksichtigt, dass insbesondere bei hohen Jährlichkeiten der Regenereignisse die Wassersättigung des Bodenfilters steigt. Beim gegenständlichen Tabellenkalkulationsprogramm wird deshalb bei Sickermulden/-becken kf,u  von kf/2 bei n=1 auf  kf,u = kf bei n=100  erhöht (volle Wassersättigung beim 100-jährlichen Niederschlagsereignis).  Im Blatt Bemessungsregendaten ist dazu das Verhältnis kfu/kf  für jede Jährlichkeit als Eingabewert von 0,5 bis 1,0 steigend enthalten. Bei Sickerschacht und unterirdischen Sickerleitungen wird kf,u mit kf/2 angenommen, da die Korrektur mit dem zu wählenden Sicherheitsfaktor erfolgt.</t>
    </r>
  </si>
  <si>
    <t>Der Grundwasserflurabstand soll lt. ÖNORM B 2506-1 mind. betragen:</t>
  </si>
  <si>
    <t>Mittlere Drosselabfluss aus Rigole [l/s]</t>
  </si>
  <si>
    <t>erforderliches Retentionsvolumen [m³]</t>
  </si>
  <si>
    <t>Volumen der Rigole</t>
  </si>
  <si>
    <r>
      <t>erforderliche Länge R</t>
    </r>
    <r>
      <rPr>
        <vertAlign val="subscript"/>
        <sz val="9"/>
        <rFont val="Arial"/>
        <family val="2"/>
      </rPr>
      <t>L</t>
    </r>
  </si>
  <si>
    <t>Sickerfähigkeit Untergrund</t>
  </si>
  <si>
    <t>ohne Drosselabfluss</t>
  </si>
  <si>
    <t>mit Drosselabfluss</t>
  </si>
  <si>
    <t>mittlerer Drosselabfluss [l/s]</t>
  </si>
  <si>
    <r>
      <t>q</t>
    </r>
    <r>
      <rPr>
        <vertAlign val="subscript"/>
        <sz val="8"/>
        <rFont val="Arial"/>
        <family val="2"/>
      </rPr>
      <t>D</t>
    </r>
  </si>
  <si>
    <t>mittlere Drosselabflussspende [l/s * ha]</t>
  </si>
  <si>
    <t>Systemskizze in Anlehnung an ÖNORM B2506-1</t>
  </si>
  <si>
    <t>Sickerfähigkeit anstehender Untergrund</t>
  </si>
  <si>
    <t>Faktor für Sickerfähigkeit anstehender Untergrund</t>
  </si>
  <si>
    <r>
      <t>f</t>
    </r>
    <r>
      <rPr>
        <vertAlign val="subscript"/>
        <sz val="9"/>
        <rFont val="Calibri"/>
        <family val="2"/>
      </rPr>
      <t>a</t>
    </r>
  </si>
  <si>
    <t>Abminderungsfaktor gemäß DWA A 117</t>
  </si>
  <si>
    <t>Verwendete Parameter</t>
  </si>
  <si>
    <t>Sickergeschwindigkeit</t>
  </si>
  <si>
    <r>
      <t>Q</t>
    </r>
    <r>
      <rPr>
        <vertAlign val="subscript"/>
        <sz val="9"/>
        <rFont val="Calibri"/>
        <family val="2"/>
      </rPr>
      <t>D</t>
    </r>
  </si>
  <si>
    <r>
      <t>q</t>
    </r>
    <r>
      <rPr>
        <vertAlign val="subscript"/>
        <sz val="9"/>
        <rFont val="Arial"/>
        <family val="2"/>
      </rPr>
      <t>D</t>
    </r>
  </si>
  <si>
    <t>l/s</t>
  </si>
  <si>
    <t>l/(s* ha)</t>
  </si>
  <si>
    <t>mittlerer Drosselabfluss</t>
  </si>
  <si>
    <t>mittlere Drosselabflussspende</t>
  </si>
  <si>
    <t>bei Sickerbecken</t>
  </si>
  <si>
    <t>bei Sickermulde</t>
  </si>
  <si>
    <t>mit Absetzbecken</t>
  </si>
  <si>
    <t>ohne Absetzbecken</t>
  </si>
  <si>
    <t>DWA A 138</t>
  </si>
  <si>
    <t>ÖNORM B 2506-1</t>
  </si>
  <si>
    <t>0,5   für Sohlfläche und Böschungen</t>
  </si>
  <si>
    <t>0,2  für Sohlfläche</t>
  </si>
  <si>
    <t>Bodenarten und kf-Wert lt. ÖNORM 2506-1</t>
  </si>
  <si>
    <t>Überflutungsprüfung</t>
  </si>
  <si>
    <t>Prüfung der Entleerungszeit</t>
  </si>
  <si>
    <t>Bemessungsjährlichkeit</t>
  </si>
  <si>
    <r>
      <t>erford. Speicher-volumen im Sickerschacht V</t>
    </r>
    <r>
      <rPr>
        <b/>
        <vertAlign val="subscript"/>
        <sz val="8"/>
        <rFont val="Arial"/>
        <family val="2"/>
      </rPr>
      <t>s1</t>
    </r>
    <r>
      <rPr>
        <b/>
        <sz val="8"/>
        <rFont val="Arial"/>
        <family val="2"/>
      </rPr>
      <t xml:space="preserve"> [m³]</t>
    </r>
  </si>
  <si>
    <t>4. Bemessung Sickerschacht</t>
  </si>
  <si>
    <t>Für den Sickerschacht ist entsprechend ÖNORM B2506-1 die Sohlfläche des  Sickerschachts bzw. die Sohle der Baugrube als Sickerfläche berücksichtigt.</t>
  </si>
  <si>
    <t>Versickerungsrate1</t>
  </si>
  <si>
    <t>qv3</t>
  </si>
  <si>
    <t>qs3</t>
  </si>
  <si>
    <t xml:space="preserve">erford. Speicher-volumen Vs mit Drosselabfluss [m³] </t>
  </si>
  <si>
    <t>erford. Speicher-volumen Vs ohne Drosselabfluss [m³]</t>
  </si>
  <si>
    <t>Bezeichnung  Einzugsfläche</t>
  </si>
  <si>
    <t>Bezeichnung Einzugsfläche</t>
  </si>
  <si>
    <t>ehyd-Regendatenbank</t>
  </si>
  <si>
    <t>kf,u/kf</t>
  </si>
  <si>
    <r>
      <t>erford. Speichervolumen der Sickeranlage V</t>
    </r>
    <r>
      <rPr>
        <b/>
        <vertAlign val="subscript"/>
        <sz val="8"/>
        <rFont val="Arial"/>
        <family val="2"/>
      </rPr>
      <t>s2</t>
    </r>
    <r>
      <rPr>
        <b/>
        <sz val="8"/>
        <rFont val="Arial"/>
        <family val="2"/>
      </rPr>
      <t xml:space="preserve"> [m³] </t>
    </r>
  </si>
  <si>
    <t>Fläche Sickerschacht innen</t>
  </si>
  <si>
    <t>Fläche Sickerschacht inkl. Wandstärke</t>
  </si>
  <si>
    <r>
      <t>Eingabe der Stauhöhe im Schacht h</t>
    </r>
    <r>
      <rPr>
        <vertAlign val="subscript"/>
        <sz val="9"/>
        <color indexed="8"/>
        <rFont val="Arial"/>
        <family val="2"/>
      </rPr>
      <t>s</t>
    </r>
  </si>
  <si>
    <t>Es ist wichtig, dass der Ordner ehyd_Regendaten im selben Ordner gespeichert wird, wie das Versickerungsprogramm selbst, da die automatische Importfunktion andernfalls die zu importierenden Daten nicht finden kann.</t>
  </si>
  <si>
    <t>Die Berechnungen, welche auf den nachfolgenden Blättern durchgeführt werden, beziehen sich auf die in diesem Blatt eingetragenen Regenreihen. Es handelt sich hierbei um die Bemessungsregendaten aus dem ehyd-System.                                                                                                                                                                                                                             Die Daten können auf der ehyd-Homepage (Link: http://ehyd.gv.at/# ) heruntergeladen werden und in weiterer Folge per Hand oder automatisch in die unten angeführte Liste eingetragen werden. Dazu müssen Sie auf der Homepage den Punkt "Kennwerte und Bemessung" und den Unterpunkt "Bemessungsregen" anklicken. Dann erscheinen die Gitterpunkte mit den Bemessungregendaten. Sie müssen auf den gewünschten Punkt klicken und die Datei als ASCII-Datei herunterladen und im Ordner "ehyd_Regendaten" speichern.</t>
  </si>
  <si>
    <t>befestigte Flächen</t>
  </si>
  <si>
    <t>Max Mustermann</t>
  </si>
  <si>
    <t>Teilfläche 6</t>
  </si>
  <si>
    <t>Teilfläche 7</t>
  </si>
  <si>
    <t>Tagesmenge [m3/d]</t>
  </si>
  <si>
    <t>Parameter</t>
  </si>
  <si>
    <t>[mg/l] = [g/m3]</t>
  </si>
  <si>
    <t>Tagesfracht [g/d]</t>
  </si>
  <si>
    <t>TOC</t>
  </si>
  <si>
    <t>Legende</t>
  </si>
  <si>
    <t>Teilfläche 8</t>
  </si>
  <si>
    <t>Teilfläche 9</t>
  </si>
  <si>
    <t>Teilfläche 10</t>
  </si>
  <si>
    <t>Fließzeit vom entferntesten Punkt [min]</t>
  </si>
  <si>
    <t>wirksame Sickerfläche</t>
  </si>
  <si>
    <t>wirksame Sickerfläche (Fläche Baugrubensohle)</t>
  </si>
  <si>
    <r>
      <t>A</t>
    </r>
    <r>
      <rPr>
        <vertAlign val="subscript"/>
        <sz val="8"/>
        <color indexed="8"/>
        <rFont val="Calibri"/>
        <family val="2"/>
      </rPr>
      <t>Sohle Baugrube</t>
    </r>
  </si>
  <si>
    <r>
      <t>A</t>
    </r>
    <r>
      <rPr>
        <vertAlign val="subscript"/>
        <sz val="8"/>
        <color indexed="8"/>
        <rFont val="Calibri"/>
        <family val="2"/>
      </rPr>
      <t>S</t>
    </r>
  </si>
  <si>
    <t>5. Bemessung Regenrückhaltebecken</t>
  </si>
  <si>
    <t>6. Voraussetzungen für Anwendung des Excel-Worksheets für Retention und Versickerung von Niederschlagswässern</t>
  </si>
  <si>
    <t>Der Anwendungsbereich des gegenständlichen Bemessungsprogrammes umfasst nur das einfache Verfahren. Dieses gilt gemäß DWA-A117, Pkt. 4.4.2 für eine Einzugsfläche von max. 200 ha oder eine Fließzeit von max. 15 min., eine Jährlichkeit von max. 10 und eine Drosselabflusspende von mind. 2 l/(s.ha).</t>
  </si>
  <si>
    <t>Zur Unterstützung einer österreichweit einheitlichen Vorgangsweise bei der hydraulischen Bemessung von Entwässerungsanlagen stellt der ÖWAV das gegenständliche Bemessungsprogramm zur Verfügung. Die dem Bemessungsprogramm zu Grunde liegenden Methoden berücksichtigen die ÖNORM B 2506-1 „Regenwasser-Sickeranlagen für Abläufe von Dachflächen und befestigten Flächen“ vom 01.08.2013 und das Arbeitsblatt DWA-A 138 „Planung, Bau und Betrieb von Anlagen zur Versickerung von Niederschlags­wasser“ vom April 2005. Die Bemessungsverfahren dieser Regelwerke unterscheiden sich in Details. Da in vielen Fällen neben der Versickerung auch eine gedrosselte Ableitung erforderlich ist, wurde für Regenrückhalteräume das einfache Bemessungsverfahren nach Arbeitsblatt DWA-A 117 vom April 2006 mit aufgenommen. Bemerkt wird, dass das Bemessungsverfahren der DWA-A 138 von der DWA-A 117 abgeleitet wurde.Ein automatischer Datenimport aus dem eHYD wurde implementiert.</t>
  </si>
  <si>
    <t>1. Beweggründe für die Veröffentlichung eines Excel-Worksheets für Retention und Versickerung von Niederschlagswässern</t>
  </si>
  <si>
    <t>Typische Inhaltsstoffe in Niederschlagsabflüssen ausgewählter Herkunftsflächen</t>
  </si>
  <si>
    <t>Cu</t>
  </si>
  <si>
    <t>Zn</t>
  </si>
  <si>
    <t>Cd</t>
  </si>
  <si>
    <t>Cr ges.</t>
  </si>
  <si>
    <t>Ni</t>
  </si>
  <si>
    <t>Pb</t>
  </si>
  <si>
    <r>
      <t>PO</t>
    </r>
    <r>
      <rPr>
        <vertAlign val="subscript"/>
        <sz val="10"/>
        <rFont val="Arial"/>
        <family val="2"/>
      </rPr>
      <t>4</t>
    </r>
    <r>
      <rPr>
        <sz val="10"/>
        <rFont val="Arial"/>
        <family val="2"/>
      </rPr>
      <t>-P</t>
    </r>
  </si>
  <si>
    <t>Cl</t>
  </si>
  <si>
    <t>PAK 6</t>
  </si>
  <si>
    <t>KW-Index</t>
  </si>
  <si>
    <t>NH4+</t>
  </si>
  <si>
    <r>
      <t xml:space="preserve">Pestizide </t>
    </r>
    <r>
      <rPr>
        <vertAlign val="subscript"/>
        <sz val="10"/>
        <rFont val="Arial"/>
        <family val="2"/>
      </rPr>
      <t>insges.</t>
    </r>
  </si>
  <si>
    <t>Typische Inhaltsstoffe in Niederschlagsabflüssen</t>
  </si>
  <si>
    <t>Schwellenwerte Anlage 1 der  QZV Chemie GW</t>
  </si>
  <si>
    <t>Berechnung Tagesfrachten</t>
  </si>
  <si>
    <t>Sickermenge bezogen auf As und kf</t>
  </si>
  <si>
    <t>Tagesmenge bezogen auf As und kf</t>
  </si>
  <si>
    <t>Sickermenge bez. auf As &amp; kf</t>
  </si>
  <si>
    <t>Tagesmenge bez. auf As &amp; kf</t>
  </si>
  <si>
    <t>v01.15</t>
  </si>
  <si>
    <t>Abflussmenge bez. auf ehyd und n=1</t>
  </si>
  <si>
    <t>Minimum Tagesmenge bezogen auf As und kf</t>
  </si>
  <si>
    <t>Abflussmenge bezogen auf ehyd und n=1</t>
  </si>
  <si>
    <t>7. Anlagen mit Technischen Filtern können in Abhängigkeit von Ihrer baulichen Ausgestaltung analog zu Sickermulden/-becken  oder Sickerschächten berechnet werden.</t>
  </si>
  <si>
    <t>Bemessung von Bodenfilteranlagen und Retentionsanlagen in Anlehnung an  die ÖNORM B 2506-1, die DWA A 138 und DWA A 117</t>
  </si>
  <si>
    <t>Bvh.</t>
  </si>
  <si>
    <t xml:space="preserve">Anmerkung:                                                                                        
Das Berechnungsprogramm  wird von der SW-Umwelttechnik kostenlos zur Verfügung gestellt. Es wurde unter Beachtung der aktuellen gültigen Normen mit größter Sorgfalt erstellt. Dennoch übernimmt die SW-Umwelttechnik keine Haftung dafür, dass das Berechnungsprogramm fehlerfrei ist oder den Anforderungen des Benutzers genügt. Für die Richtigkeit der eingesetzten Grunddaten liegt die Verantwortung beim unterzeichnenden Anwender.  </t>
  </si>
  <si>
    <t>Entwässerungsflächen:</t>
  </si>
  <si>
    <t>Fläche:</t>
  </si>
  <si>
    <t>Ared</t>
  </si>
  <si>
    <t>Summe Entwässerungsflächen x Abflussbeiwerte:</t>
  </si>
  <si>
    <t>Berechnungsgrundlagen gemäß Bemessungsblatt Sickerschächte ÖWAV-RB-45</t>
  </si>
  <si>
    <t>[m/s]</t>
  </si>
  <si>
    <t>[-]</t>
  </si>
  <si>
    <t xml:space="preserve">Stufenfilter oder Geotextil </t>
  </si>
  <si>
    <t>[m]</t>
  </si>
  <si>
    <t>Schachtdurchmesser innen</t>
  </si>
  <si>
    <t xml:space="preserve">Wandstärke Schacht </t>
  </si>
  <si>
    <t>[%]</t>
  </si>
  <si>
    <t>[m²]</t>
  </si>
  <si>
    <t>………………………………………….</t>
  </si>
  <si>
    <t>Dokumentverfasser</t>
  </si>
  <si>
    <t>Stampiglie</t>
  </si>
  <si>
    <t>SW-SIR-10-0,80</t>
  </si>
  <si>
    <t>SW-SIR-10-1,30</t>
  </si>
  <si>
    <t>SW-SIR-10-1,70</t>
  </si>
  <si>
    <t>SW-SIR-10-2,70</t>
  </si>
  <si>
    <t>SW-SIR-15-1,40</t>
  </si>
  <si>
    <t>SW-SIR-15-1,80</t>
  </si>
  <si>
    <t>SW-SIR-15-2,20</t>
  </si>
  <si>
    <t>SW-SIR-15-2,70</t>
  </si>
  <si>
    <t>SW-SIR-15-3,10</t>
  </si>
  <si>
    <t>SW-SIR-15-3,60</t>
  </si>
  <si>
    <t>SW-SIR-15-4,00</t>
  </si>
  <si>
    <t>SW-SIR-15-5,00</t>
  </si>
  <si>
    <t>SW-SIR-20-2,40</t>
  </si>
  <si>
    <t>SW-SIR-20-3,20</t>
  </si>
  <si>
    <t>SW-SIR-20-4,00</t>
  </si>
  <si>
    <t>SW-SIR-20-4,70</t>
  </si>
  <si>
    <t>SW-SIR-20-5,60</t>
  </si>
  <si>
    <t>SW-SIR-20-6,30</t>
  </si>
  <si>
    <t>SW-SIR-20-7,10</t>
  </si>
  <si>
    <t>SW-SIR-20-7,90</t>
  </si>
  <si>
    <t>SW-SIR-20-8,70</t>
  </si>
  <si>
    <t>SW-SIR-25-5,90</t>
  </si>
  <si>
    <t>SW-SIR-25-7,10</t>
  </si>
  <si>
    <t>SW-SIR-25-8,30</t>
  </si>
  <si>
    <t>SW-SIR-25-9,50</t>
  </si>
  <si>
    <t>SW-SIR-25-10,80</t>
  </si>
  <si>
    <t>SW-SIR-25-12,00</t>
  </si>
  <si>
    <t>SW-SIR-25-13,30</t>
  </si>
  <si>
    <t>SW-SIR-25-14,50</t>
  </si>
  <si>
    <t>SW-SIR-25-15,70</t>
  </si>
  <si>
    <t>SW-SIR-25-17,00</t>
  </si>
  <si>
    <t>SW-SIR-30-11,40</t>
  </si>
  <si>
    <t>SW-SIR-30-13,20</t>
  </si>
  <si>
    <t>SW-SIR-30-15,00</t>
  </si>
  <si>
    <t>SW-SIR-30-16,80</t>
  </si>
  <si>
    <t>SW-SIR-30-18,60</t>
  </si>
  <si>
    <t>SW-SIR-30-20,30</t>
  </si>
  <si>
    <t>SW-SIR-30-22,20</t>
  </si>
  <si>
    <t>SW-SIR-30-25,80</t>
  </si>
  <si>
    <t>SW-ASI-15-1,20</t>
  </si>
  <si>
    <t>SW-ASI-15-1,60</t>
  </si>
  <si>
    <t>SW-ASI-15-2,00</t>
  </si>
  <si>
    <t>SW-ASI-15-2,50</t>
  </si>
  <si>
    <t>SW-ASI-15-2,90</t>
  </si>
  <si>
    <t>SW-ASI-15-3,30</t>
  </si>
  <si>
    <t>SW-ASI-15-3,80</t>
  </si>
  <si>
    <t>SW-ASI-15-4,70</t>
  </si>
  <si>
    <t>SW-ASI-20-2,00</t>
  </si>
  <si>
    <t>SW-ASI-20-2,70</t>
  </si>
  <si>
    <t>SW-ASI-20-3,50</t>
  </si>
  <si>
    <t>SW-ASI-20-4,33</t>
  </si>
  <si>
    <t>SW-ASI-20-5,10</t>
  </si>
  <si>
    <t>SW-ASI-20-5,90</t>
  </si>
  <si>
    <t>SW-ASI-20-6,70</t>
  </si>
  <si>
    <t>SW-ASI-20-7,50</t>
  </si>
  <si>
    <t>SW-ASI-20-8,30</t>
  </si>
  <si>
    <t>SW-ASI-25-5,00</t>
  </si>
  <si>
    <t>SW-ASI-25-6,20</t>
  </si>
  <si>
    <t>SW-ASI-25-7,40</t>
  </si>
  <si>
    <t>SW-ASI-25-8,70</t>
  </si>
  <si>
    <t>SW-ASI-25-9,90</t>
  </si>
  <si>
    <t>SW-ASI-25-11,20</t>
  </si>
  <si>
    <t>SW-ASI-25-12,40</t>
  </si>
  <si>
    <t>SW-ASI-25-13,70</t>
  </si>
  <si>
    <t>SW-ASI-25-14,90</t>
  </si>
  <si>
    <t>SW-ASI-25-16,10</t>
  </si>
  <si>
    <t>SW-ASI-30-10,20</t>
  </si>
  <si>
    <t>SW-ASI-30-12,00</t>
  </si>
  <si>
    <t>SW-ASI-30-13,80</t>
  </si>
  <si>
    <t>SW-ASI-30-15,50</t>
  </si>
  <si>
    <t>SW-ASI-30-17,40</t>
  </si>
  <si>
    <t>SW-ASI-30-19,20</t>
  </si>
  <si>
    <t>SW-ASI-30-20,90</t>
  </si>
  <si>
    <t>SW-ASI-30-24,50</t>
  </si>
  <si>
    <r>
      <t xml:space="preserve">Abflussbeiwert </t>
    </r>
    <r>
      <rPr>
        <b/>
        <sz val="11"/>
        <rFont val="Symbol"/>
        <family val="1"/>
        <charset val="2"/>
      </rPr>
      <t>y</t>
    </r>
  </si>
  <si>
    <t>Sickerfähigkeit bzw. Durchlässigkeit des Untergrundes:</t>
  </si>
  <si>
    <t xml:space="preserve">gewählter Durchlässigkeitsbeiwert </t>
  </si>
  <si>
    <t>kf =</t>
  </si>
  <si>
    <t>Sickergeschwindigkeit:</t>
  </si>
  <si>
    <t>vf =</t>
  </si>
  <si>
    <t>Schachttype:</t>
  </si>
  <si>
    <t>Anzahl der Schächte:</t>
  </si>
  <si>
    <t>Schachtdurchmesser:</t>
  </si>
  <si>
    <t>D =</t>
  </si>
  <si>
    <t>Einbautiefe:</t>
  </si>
  <si>
    <t>ET =</t>
  </si>
  <si>
    <t>Zulauftiefe:</t>
  </si>
  <si>
    <t>ZT =</t>
  </si>
  <si>
    <t>Entwässerungsteilfläche pro Schacht</t>
  </si>
  <si>
    <t xml:space="preserve">Überprüfung des Retentionsvolumens Stauhöhe: </t>
  </si>
  <si>
    <t>Annahme eines Regenwassersickerschachtes</t>
  </si>
  <si>
    <t>SICKERSCHACHTAUSLEGUNG - Regenwassersickerschacht</t>
  </si>
  <si>
    <t>Version I 22062015</t>
  </si>
  <si>
    <r>
      <t>V</t>
    </r>
    <r>
      <rPr>
        <vertAlign val="subscript"/>
        <sz val="11"/>
        <rFont val="Arial"/>
        <family val="2"/>
      </rPr>
      <t>RET</t>
    </r>
    <r>
      <rPr>
        <sz val="11"/>
        <rFont val="Arial"/>
        <family val="2"/>
      </rPr>
      <t xml:space="preserve"> =</t>
    </r>
  </si>
  <si>
    <r>
      <t>A</t>
    </r>
    <r>
      <rPr>
        <vertAlign val="subscript"/>
        <sz val="11"/>
        <rFont val="Arial"/>
        <family val="2"/>
      </rPr>
      <t>red</t>
    </r>
    <r>
      <rPr>
        <sz val="11"/>
        <rFont val="Arial"/>
        <family val="2"/>
      </rPr>
      <t xml:space="preserve"> =</t>
    </r>
  </si>
  <si>
    <t>Der erforderliche Abstand vom tiefsten Punkt der Sickeranlage zum höchsten maßgeblichen Grundwasserspiegel muss 1,00 m betragen ! ! !</t>
  </si>
  <si>
    <t>A</t>
  </si>
  <si>
    <t>Grundfläche des Schotterkörpers unter den Schächten/dem Schacht</t>
  </si>
  <si>
    <r>
      <t>h</t>
    </r>
    <r>
      <rPr>
        <vertAlign val="subscript"/>
        <sz val="11"/>
        <rFont val="Arial"/>
        <family val="2"/>
      </rPr>
      <t>K</t>
    </r>
    <r>
      <rPr>
        <sz val="11"/>
        <rFont val="Arial"/>
        <family val="2"/>
      </rPr>
      <t>=</t>
    </r>
  </si>
  <si>
    <t xml:space="preserve">Die Niederschlagswerte sind im Internet unter dem Niederschlagsportal ehyd downzuloaden und im Karteireiter "Bemessungsregendaten, kfu" einzuspielen </t>
  </si>
  <si>
    <t xml:space="preserve">Die Jährlichkeit des Niederschlags ist </t>
  </si>
  <si>
    <t>Bemessungsniederschläge nach BMLUFW  für den Gitterpunkt</t>
  </si>
  <si>
    <t>maximales Retentionsvolumen</t>
  </si>
  <si>
    <t>maximale Stauhöhe</t>
  </si>
  <si>
    <t>Asphaltfläche</t>
  </si>
  <si>
    <r>
      <t>h</t>
    </r>
    <r>
      <rPr>
        <vertAlign val="subscript"/>
        <sz val="11"/>
        <rFont val="Arial"/>
        <family val="2"/>
      </rPr>
      <t>s</t>
    </r>
    <r>
      <rPr>
        <sz val="11"/>
        <rFont val="Arial"/>
        <family val="2"/>
      </rPr>
      <t>=</t>
    </r>
  </si>
  <si>
    <r>
      <t>h´</t>
    </r>
    <r>
      <rPr>
        <vertAlign val="subscript"/>
        <sz val="11"/>
        <rFont val="Arial"/>
        <family val="2"/>
      </rPr>
      <t>S</t>
    </r>
    <r>
      <rPr>
        <sz val="11"/>
        <rFont val="Arial"/>
        <family val="2"/>
      </rPr>
      <t>=</t>
    </r>
  </si>
  <si>
    <t>mindestens erforderliches Retentionsvolumen</t>
  </si>
  <si>
    <t xml:space="preserve">mindestens erforderliche Stauhöhe im Schacht </t>
  </si>
  <si>
    <r>
      <t>h</t>
    </r>
    <r>
      <rPr>
        <vertAlign val="subscript"/>
        <sz val="11"/>
        <rFont val="Arial"/>
        <family val="2"/>
      </rPr>
      <t>s,erf</t>
    </r>
    <r>
      <rPr>
        <sz val="11"/>
        <rFont val="Arial"/>
        <family val="2"/>
      </rPr>
      <t>=</t>
    </r>
  </si>
  <si>
    <t xml:space="preserve">Vorhandene Stauhöhe im Schacht </t>
  </si>
  <si>
    <t>SICKERSCHACHTAUSLEGUNG - Sickerschacht mit Aktivkohlereinigungsstufe</t>
  </si>
  <si>
    <r>
      <t>v</t>
    </r>
    <r>
      <rPr>
        <vertAlign val="subscript"/>
        <sz val="11"/>
        <rFont val="Arial"/>
        <family val="2"/>
      </rPr>
      <t xml:space="preserve">f </t>
    </r>
  </si>
  <si>
    <t>[mm/min]</t>
  </si>
  <si>
    <r>
      <t>k</t>
    </r>
    <r>
      <rPr>
        <vertAlign val="subscript"/>
        <sz val="8"/>
        <rFont val="Arial"/>
        <family val="2"/>
      </rPr>
      <t>f2</t>
    </r>
  </si>
  <si>
    <t>Sickerfähigkeit der Aktivkohlematten</t>
  </si>
  <si>
    <t>Stärke der Aktivkohlematten</t>
  </si>
  <si>
    <t>SICKERSCHACHTAUSLEGUNG - Sickerschacht  mit geprüftem technischen Filter „AQUAfilt“</t>
  </si>
  <si>
    <t>SW-SIR/AQUAfilt-10-0,50</t>
  </si>
  <si>
    <t>SW-SIR/AQUAfilt-10-1,00</t>
  </si>
  <si>
    <t>SW-SIR/AQUAfilt-10-1,50</t>
  </si>
  <si>
    <t>SW-SIR/AQUAfilt-10-2,50</t>
  </si>
  <si>
    <t>SW-SIR/AQUAfilt-15-1,30</t>
  </si>
  <si>
    <t>SW-SIR/AQUAfilt-15-1,70</t>
  </si>
  <si>
    <t>SW-SIR/AQUAfilt-15-2,20</t>
  </si>
  <si>
    <t>SW-SIR/AQUAfilt-15-2,60</t>
  </si>
  <si>
    <t>SW-SIR/AQUAfilt-15-3,00</t>
  </si>
  <si>
    <t>SW-SIR/AQUAfilt-15-3,50</t>
  </si>
  <si>
    <t>SW-SIR/AQUAfilt-15-4,40</t>
  </si>
  <si>
    <t>SW-SIR/AQUAfilt-20-1,40</t>
  </si>
  <si>
    <t>SW-SIR/AQUAfilt-20-2,20</t>
  </si>
  <si>
    <t>SW-SIR/AQUAfilt-20-3,00</t>
  </si>
  <si>
    <t>SW-SIR/AQUAfilt-20-3,80</t>
  </si>
  <si>
    <t>SW-SIR/AQUAfilt-20-4,60</t>
  </si>
  <si>
    <t>SW-SIR/AQUAfilt-20-5,40</t>
  </si>
  <si>
    <t>SW-SIR/AQUAfilt-20-6,20</t>
  </si>
  <si>
    <t>SW-SIR/AQUAfilt-20-6,90</t>
  </si>
  <si>
    <t>SW-SIR/AQUAfilt-20-7,80</t>
  </si>
  <si>
    <t>SW-SIR/AQUAfilt-25-4,30</t>
  </si>
  <si>
    <t>SW-SIR/AQUAfilt-25-5,60</t>
  </si>
  <si>
    <t>SW-SIR/AQUAfilt-25-6,80</t>
  </si>
  <si>
    <t>SW-SIR/AQUAfilt-25-7,90</t>
  </si>
  <si>
    <t>SW-SIR/AQUAfilt-25-9,20</t>
  </si>
  <si>
    <t>SW-SIR/AQUAfilt-25-10,50</t>
  </si>
  <si>
    <t>SW-SIR/AQUAfilt-25-11,70</t>
  </si>
  <si>
    <t>SW-SIR/AQUAfilt-25-13,00</t>
  </si>
  <si>
    <t>SW-SIR/AQUAfilt-25-14,20</t>
  </si>
  <si>
    <t>SW-SIR/AQUAfilt-25-15,50</t>
  </si>
  <si>
    <t>SW-SIR/AQUAfilt-30-9,30</t>
  </si>
  <si>
    <t>SW-SIR/AQUAfilt-30-11,00</t>
  </si>
  <si>
    <t>SW-SIR/AQUAfilt-30-12,90</t>
  </si>
  <si>
    <t>SW-SIR/AQUAfilt-30-14,50</t>
  </si>
  <si>
    <t>SW-SIR/AQUAfilt-30-16,40</t>
  </si>
  <si>
    <t>SW-SIR/AQUAfilt-30-18,20</t>
  </si>
  <si>
    <t>SW-SIR/AQUAfilt-30-20,00</t>
  </si>
  <si>
    <t>SW-SIR/AQUAfilt-30-23,60</t>
  </si>
  <si>
    <t>SW-SIR/AQUAfilt-15-0,80</t>
  </si>
  <si>
    <t>ET</t>
  </si>
  <si>
    <t>DMR</t>
  </si>
  <si>
    <t>ZT</t>
  </si>
  <si>
    <t>Ws</t>
  </si>
  <si>
    <t>VRET</t>
  </si>
  <si>
    <t>Dmr</t>
  </si>
  <si>
    <t>hs</t>
  </si>
  <si>
    <t>Annahme einesSchotterkörpers unter dem Schacht</t>
  </si>
  <si>
    <t>Annahme eines Schotterkörpers unter dem Schacht</t>
  </si>
  <si>
    <t>Sickerfähigkeit des Filtermaterials AQUAfilt</t>
  </si>
  <si>
    <t>vorhandenes Retentionsvolumen</t>
  </si>
  <si>
    <t>Carport</t>
  </si>
  <si>
    <t>Windfang</t>
  </si>
  <si>
    <t>Zubau-Dach</t>
  </si>
  <si>
    <t>Terrasse</t>
  </si>
  <si>
    <t xml:space="preserve">Zubau </t>
  </si>
  <si>
    <t>Treppe</t>
  </si>
  <si>
    <t>BVH</t>
  </si>
  <si>
    <t>Bemessung von Bodenfilteranlagen und Retentionsanlagen in Anlehnung an die ÖNORM B 2506-1, die DWA A 138 und DWA A 117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</si>
</sst>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6">
    <numFmt numFmtId="164" formatCode="_-* #,##0.00_-;\-* #,##0.00_-;_-* &quot;-&quot;??_-;_-@_-"/>
    <numFmt numFmtId="165" formatCode="0.0"/>
    <numFmt numFmtId="166" formatCode="0.00\ &quot;m²&quot;"/>
    <numFmt numFmtId="167" formatCode="0.00\ &quot;l/s&quot;"/>
    <numFmt numFmtId="168" formatCode="0.00\ \ &quot;l/(s * ha)&quot;"/>
    <numFmt numFmtId="169" formatCode="0.000000000"/>
    <numFmt numFmtId="170" formatCode="0.00\ &quot;m³&quot;"/>
    <numFmt numFmtId="171" formatCode="0.00\ &quot;l/m²&quot;"/>
    <numFmt numFmtId="172" formatCode="0.00\ &quot;m&quot;"/>
    <numFmt numFmtId="173" formatCode="0.0\ &quot;l/m²&quot;"/>
    <numFmt numFmtId="174" formatCode="0.00\ &quot;m³/d&quot;"/>
    <numFmt numFmtId="175" formatCode="_-* #,##0.0_-;\-* #,##0.0_-;_-* &quot;-&quot;?_-;_-@_-"/>
    <numFmt numFmtId="176" formatCode="0.E+00\ &quot;m/s&quot;"/>
    <numFmt numFmtId="177" formatCode="0.0\ &quot;m³&quot;"/>
    <numFmt numFmtId="178" formatCode="0\ &quot;l/m²&quot;"/>
    <numFmt numFmtId="179" formatCode="0.00\ &quot;h&quot;"/>
    <numFmt numFmtId="180" formatCode="&quot;Jährlichkeit&quot;\ 0"/>
    <numFmt numFmtId="181" formatCode="0.0\ &quot;m&quot;"/>
    <numFmt numFmtId="182" formatCode="0\ &quot;m³/d&quot;"/>
    <numFmt numFmtId="183" formatCode="0.00\ &quot;l/s * ha&quot;"/>
    <numFmt numFmtId="184" formatCode="0\ &quot;m³&quot;"/>
    <numFmt numFmtId="185" formatCode="0.00\ &quot;min&quot;"/>
    <numFmt numFmtId="186" formatCode="0\ &quot;m²&quot;\ \ \ \ \ "/>
    <numFmt numFmtId="187" formatCode="General\ &quot;Stück&quot;"/>
    <numFmt numFmtId="188" formatCode="0\ &quot;Stk.&quot;"/>
    <numFmt numFmtId="189" formatCode="0.00\ &quot;%&quot;"/>
    <numFmt numFmtId="190" formatCode="0\ &quot;m²&quot;"/>
    <numFmt numFmtId="191" formatCode="0.00E+00\ &quot;m/s&quot;"/>
    <numFmt numFmtId="192" formatCode="0.0E+00"/>
    <numFmt numFmtId="193" formatCode="0.000\ &quot;mm/min&quot;"/>
    <numFmt numFmtId="194" formatCode="General\ &quot;cm&quot;"/>
    <numFmt numFmtId="195" formatCode="0.00\ &quot;m&quot;\ \ \ \ \ "/>
    <numFmt numFmtId="196" formatCode="0.00\ &quot;m³&quot;\ \ \ \ \ "/>
    <numFmt numFmtId="197" formatCode="General\ &quot;stücl&quot;"/>
    <numFmt numFmtId="198" formatCode="0.000000\ &quot;m/s&quot;"/>
    <numFmt numFmtId="199" formatCode="General\ &quot;m³&quot;"/>
  </numFmts>
  <fonts count="98" x14ac:knownFonts="1">
    <font>
      <sz val="10"/>
      <name val="Arial"/>
    </font>
    <font>
      <b/>
      <sz val="10"/>
      <name val="Arial"/>
      <family val="2"/>
    </font>
    <font>
      <sz val="8"/>
      <name val="Arial"/>
      <family val="2"/>
    </font>
    <font>
      <sz val="10"/>
      <name val="Arial"/>
      <family val="2"/>
    </font>
    <font>
      <sz val="9"/>
      <name val="Arial"/>
      <family val="2"/>
    </font>
    <font>
      <b/>
      <sz val="9"/>
      <name val="Arial"/>
      <family val="2"/>
    </font>
    <font>
      <vertAlign val="superscript"/>
      <sz val="10"/>
      <name val="Arial"/>
      <family val="2"/>
    </font>
    <font>
      <b/>
      <vertAlign val="subscript"/>
      <sz val="10"/>
      <name val="Arial"/>
      <family val="2"/>
    </font>
    <font>
      <vertAlign val="subscript"/>
      <sz val="10"/>
      <name val="Arial"/>
      <family val="2"/>
    </font>
    <font>
      <sz val="10"/>
      <name val="Calibri"/>
      <family val="2"/>
    </font>
    <font>
      <sz val="10"/>
      <color indexed="8"/>
      <name val="Arial"/>
      <family val="2"/>
    </font>
    <font>
      <b/>
      <sz val="10"/>
      <color indexed="8"/>
      <name val="Arial"/>
      <family val="2"/>
    </font>
    <font>
      <sz val="10"/>
      <color indexed="62"/>
      <name val="Arial"/>
      <family val="2"/>
    </font>
    <font>
      <b/>
      <sz val="9"/>
      <color indexed="8"/>
      <name val="Arial"/>
      <family val="2"/>
    </font>
    <font>
      <sz val="9"/>
      <color indexed="8"/>
      <name val="Arial"/>
      <family val="2"/>
    </font>
    <font>
      <sz val="10"/>
      <name val="Arial"/>
      <family val="2"/>
    </font>
    <font>
      <sz val="8"/>
      <color indexed="8"/>
      <name val="Arial"/>
      <family val="2"/>
    </font>
    <font>
      <b/>
      <sz val="10"/>
      <color indexed="8"/>
      <name val="Calibri"/>
      <family val="2"/>
    </font>
    <font>
      <vertAlign val="subscript"/>
      <sz val="9"/>
      <name val="Arial"/>
      <family val="2"/>
    </font>
    <font>
      <sz val="9"/>
      <name val="Times New Roman"/>
      <family val="1"/>
    </font>
    <font>
      <i/>
      <sz val="8"/>
      <name val="Arial"/>
      <family val="2"/>
    </font>
    <font>
      <sz val="7"/>
      <name val="Arial"/>
      <family val="2"/>
    </font>
    <font>
      <sz val="9"/>
      <name val="Calibri"/>
      <family val="2"/>
    </font>
    <font>
      <vertAlign val="subscript"/>
      <sz val="9"/>
      <color indexed="8"/>
      <name val="Arial"/>
      <family val="2"/>
    </font>
    <font>
      <b/>
      <sz val="8"/>
      <name val="Arial"/>
      <family val="2"/>
    </font>
    <font>
      <b/>
      <vertAlign val="subscript"/>
      <sz val="8"/>
      <name val="Arial"/>
      <family val="2"/>
    </font>
    <font>
      <b/>
      <sz val="14"/>
      <name val="Arial"/>
      <family val="2"/>
    </font>
    <font>
      <sz val="9"/>
      <color indexed="81"/>
      <name val="Tahoma"/>
      <family val="2"/>
    </font>
    <font>
      <b/>
      <sz val="9"/>
      <color indexed="81"/>
      <name val="Tahoma"/>
      <family val="2"/>
    </font>
    <font>
      <vertAlign val="subscript"/>
      <sz val="8"/>
      <name val="Arial"/>
      <family val="2"/>
    </font>
    <font>
      <b/>
      <sz val="8"/>
      <color indexed="8"/>
      <name val="Arial"/>
      <family val="2"/>
    </font>
    <font>
      <sz val="8"/>
      <color indexed="8"/>
      <name val="Calibri"/>
      <family val="2"/>
    </font>
    <font>
      <vertAlign val="subscript"/>
      <sz val="8"/>
      <color indexed="8"/>
      <name val="Calibri"/>
      <family val="2"/>
    </font>
    <font>
      <b/>
      <vertAlign val="subscript"/>
      <sz val="8"/>
      <color indexed="8"/>
      <name val="Arial"/>
      <family val="2"/>
    </font>
    <font>
      <vertAlign val="subscript"/>
      <sz val="9"/>
      <name val="Calibri"/>
      <family val="2"/>
    </font>
    <font>
      <i/>
      <sz val="10"/>
      <name val="Arial"/>
      <family val="2"/>
    </font>
    <font>
      <sz val="14"/>
      <name val="Arial"/>
      <family val="2"/>
    </font>
    <font>
      <sz val="11"/>
      <color indexed="8"/>
      <name val="Arial"/>
      <family val="2"/>
    </font>
    <font>
      <b/>
      <sz val="9"/>
      <color indexed="8"/>
      <name val="Arial"/>
      <family val="2"/>
    </font>
    <font>
      <sz val="10"/>
      <color indexed="8"/>
      <name val="Arial"/>
      <family val="2"/>
    </font>
    <font>
      <sz val="8"/>
      <color indexed="9"/>
      <name val="Arial"/>
      <family val="2"/>
    </font>
    <font>
      <b/>
      <sz val="8"/>
      <color indexed="8"/>
      <name val="Arial"/>
      <family val="2"/>
    </font>
    <font>
      <b/>
      <sz val="8"/>
      <color indexed="28"/>
      <name val="Arial"/>
      <family val="2"/>
    </font>
    <font>
      <sz val="8"/>
      <color indexed="8"/>
      <name val="Arial"/>
      <family val="2"/>
    </font>
    <font>
      <sz val="9"/>
      <color indexed="8"/>
      <name val="Arial"/>
      <family val="2"/>
    </font>
    <font>
      <b/>
      <sz val="10"/>
      <color indexed="22"/>
      <name val="Arial"/>
      <family val="2"/>
    </font>
    <font>
      <sz val="10"/>
      <color indexed="22"/>
      <name val="Arial"/>
      <family val="2"/>
    </font>
    <font>
      <sz val="8"/>
      <name val="Arial"/>
      <family val="2"/>
    </font>
    <font>
      <sz val="8"/>
      <name val="Arial"/>
      <family val="2"/>
    </font>
    <font>
      <vertAlign val="subscript"/>
      <sz val="8"/>
      <color indexed="8"/>
      <name val="Arial"/>
      <family val="2"/>
    </font>
    <font>
      <sz val="11"/>
      <name val="Arial"/>
      <family val="2"/>
    </font>
    <font>
      <sz val="10"/>
      <color indexed="9"/>
      <name val="Arial"/>
      <family val="2"/>
    </font>
    <font>
      <b/>
      <sz val="9"/>
      <color indexed="60"/>
      <name val="Arial"/>
      <family val="2"/>
    </font>
    <font>
      <sz val="8"/>
      <color indexed="9"/>
      <name val="Arial"/>
      <family val="2"/>
    </font>
    <font>
      <b/>
      <sz val="8"/>
      <color indexed="9"/>
      <name val="Arial"/>
      <family val="2"/>
    </font>
    <font>
      <sz val="10"/>
      <color indexed="9"/>
      <name val="Arial"/>
      <family val="2"/>
    </font>
    <font>
      <sz val="8"/>
      <color indexed="9"/>
      <name val="Arial"/>
      <family val="2"/>
    </font>
    <font>
      <b/>
      <sz val="8"/>
      <color indexed="9"/>
      <name val="Arial"/>
      <family val="2"/>
    </font>
    <font>
      <sz val="10"/>
      <color indexed="10"/>
      <name val="Arial"/>
      <family val="2"/>
    </font>
    <font>
      <sz val="10"/>
      <color indexed="9"/>
      <name val="Arial"/>
      <family val="2"/>
    </font>
    <font>
      <sz val="8"/>
      <color indexed="9"/>
      <name val="Arial"/>
      <family val="2"/>
    </font>
    <font>
      <b/>
      <sz val="8"/>
      <color indexed="9"/>
      <name val="Arial"/>
      <family val="2"/>
    </font>
    <font>
      <b/>
      <sz val="11"/>
      <color indexed="8"/>
      <name val="Calibri"/>
      <family val="2"/>
    </font>
    <font>
      <sz val="8"/>
      <name val="Arial"/>
      <family val="2"/>
    </font>
    <font>
      <b/>
      <sz val="13"/>
      <name val="Arial"/>
      <family val="2"/>
    </font>
    <font>
      <b/>
      <sz val="11"/>
      <name val="Arial"/>
      <family val="2"/>
    </font>
    <font>
      <b/>
      <sz val="11"/>
      <name val="Symbol"/>
      <family val="1"/>
      <charset val="2"/>
    </font>
    <font>
      <b/>
      <sz val="12"/>
      <name val="Arial"/>
      <family val="2"/>
    </font>
    <font>
      <b/>
      <sz val="11"/>
      <color indexed="10"/>
      <name val="Arial"/>
      <family val="2"/>
    </font>
    <font>
      <sz val="12"/>
      <name val="Arial"/>
      <family val="2"/>
    </font>
    <font>
      <b/>
      <sz val="11"/>
      <color indexed="12"/>
      <name val="Arial"/>
      <family val="2"/>
    </font>
    <font>
      <vertAlign val="subscript"/>
      <sz val="11"/>
      <name val="Arial"/>
      <family val="2"/>
    </font>
    <font>
      <sz val="11"/>
      <color theme="1"/>
      <name val="Arial"/>
      <family val="2"/>
    </font>
    <font>
      <sz val="11"/>
      <color theme="0"/>
      <name val="Arial"/>
      <family val="2"/>
    </font>
    <font>
      <b/>
      <sz val="11"/>
      <color rgb="FF3F3F3F"/>
      <name val="Arial"/>
      <family val="2"/>
    </font>
    <font>
      <b/>
      <sz val="9"/>
      <color theme="1"/>
      <name val="Arial"/>
      <family val="2"/>
    </font>
    <font>
      <b/>
      <sz val="11"/>
      <color rgb="FFFA7D00"/>
      <name val="Arial"/>
      <family val="2"/>
    </font>
    <font>
      <sz val="11"/>
      <color rgb="FF3F3F76"/>
      <name val="Arial"/>
      <family val="2"/>
    </font>
    <font>
      <b/>
      <sz val="11"/>
      <color theme="1"/>
      <name val="Arial"/>
      <family val="2"/>
    </font>
    <font>
      <i/>
      <sz val="11"/>
      <color rgb="FF7F7F7F"/>
      <name val="Arial"/>
      <family val="2"/>
    </font>
    <font>
      <sz val="11"/>
      <color rgb="FF006100"/>
      <name val="Arial"/>
      <family val="2"/>
    </font>
    <font>
      <u/>
      <sz val="10"/>
      <color theme="10"/>
      <name val="Arial"/>
      <family val="2"/>
    </font>
    <font>
      <sz val="11"/>
      <color rgb="FF9C6500"/>
      <name val="Arial"/>
      <family val="2"/>
    </font>
    <font>
      <sz val="11"/>
      <color rgb="FF9C0006"/>
      <name val="Arial"/>
      <family val="2"/>
    </font>
    <font>
      <b/>
      <sz val="18"/>
      <color theme="3"/>
      <name val="Cambria"/>
      <family val="2"/>
      <scheme val="major"/>
    </font>
    <font>
      <b/>
      <sz val="15"/>
      <color theme="3"/>
      <name val="Arial"/>
      <family val="2"/>
    </font>
    <font>
      <b/>
      <sz val="13"/>
      <color theme="3"/>
      <name val="Arial"/>
      <family val="2"/>
    </font>
    <font>
      <b/>
      <sz val="11"/>
      <color theme="3"/>
      <name val="Arial"/>
      <family val="2"/>
    </font>
    <font>
      <sz val="11"/>
      <color rgb="FFFA7D00"/>
      <name val="Arial"/>
      <family val="2"/>
    </font>
    <font>
      <sz val="11"/>
      <color rgb="FFFF0000"/>
      <name val="Arial"/>
      <family val="2"/>
    </font>
    <font>
      <b/>
      <sz val="11"/>
      <color theme="0"/>
      <name val="Arial"/>
      <family val="2"/>
    </font>
    <font>
      <b/>
      <sz val="9"/>
      <color theme="0"/>
      <name val="Arial"/>
      <family val="2"/>
    </font>
    <font>
      <b/>
      <sz val="11"/>
      <color rgb="FFFF0000"/>
      <name val="Arial"/>
      <family val="2"/>
    </font>
    <font>
      <b/>
      <sz val="11"/>
      <color theme="1"/>
      <name val="Calibri"/>
      <family val="2"/>
      <scheme val="minor"/>
    </font>
    <font>
      <b/>
      <sz val="11"/>
      <name val="Calibri"/>
      <family val="2"/>
      <scheme val="minor"/>
    </font>
    <font>
      <sz val="11"/>
      <name val="Calibri"/>
      <family val="2"/>
      <scheme val="minor"/>
    </font>
    <font>
      <i/>
      <sz val="8"/>
      <color rgb="FFFF0000"/>
      <name val="Arial"/>
      <family val="2"/>
    </font>
    <font>
      <sz val="10"/>
      <color rgb="FF000000"/>
      <name val="Arial"/>
      <family val="2"/>
    </font>
  </fonts>
  <fills count="49">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0"/>
        <bgColor indexed="64"/>
      </patternFill>
    </fill>
    <fill>
      <patternFill patternType="solid">
        <fgColor indexed="51"/>
        <bgColor indexed="64"/>
      </patternFill>
    </fill>
    <fill>
      <patternFill patternType="solid">
        <fgColor indexed="50"/>
        <bgColor indexed="64"/>
      </patternFill>
    </fill>
    <fill>
      <patternFill patternType="solid">
        <fgColor indexed="55"/>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2F2F2"/>
      </patternFill>
    </fill>
    <fill>
      <patternFill patternType="solid">
        <fgColor theme="0" tint="-0.14996795556505021"/>
        <bgColor indexed="64"/>
      </patternFill>
    </fill>
    <fill>
      <patternFill patternType="solid">
        <fgColor rgb="FFCCFFCC"/>
        <bgColor indexed="64"/>
      </patternFill>
    </fill>
    <fill>
      <patternFill patternType="solid">
        <fgColor rgb="FFFFCC99"/>
      </patternFill>
    </fill>
    <fill>
      <patternFill patternType="solid">
        <fgColor rgb="FFC6EFCE"/>
      </patternFill>
    </fill>
    <fill>
      <patternFill patternType="solid">
        <fgColor rgb="FFFFEB9C"/>
      </patternFill>
    </fill>
    <fill>
      <patternFill patternType="solid">
        <fgColor rgb="FFFFFFCC"/>
      </patternFill>
    </fill>
    <fill>
      <patternFill patternType="solid">
        <fgColor rgb="FFFFC7CE"/>
      </patternFill>
    </fill>
    <fill>
      <patternFill patternType="solid">
        <fgColor rgb="FFA5A5A5"/>
      </patternFill>
    </fill>
    <fill>
      <patternFill patternType="solid">
        <fgColor rgb="FFFFFF99"/>
        <bgColor indexed="64"/>
      </patternFill>
    </fill>
    <fill>
      <patternFill patternType="solid">
        <fgColor theme="9" tint="0.59999389629810485"/>
        <bgColor indexed="64"/>
      </patternFill>
    </fill>
    <fill>
      <patternFill patternType="solid">
        <fgColor rgb="FF99CCFF"/>
        <bgColor indexed="64"/>
      </patternFill>
    </fill>
    <fill>
      <patternFill patternType="solid">
        <fgColor rgb="FF92D050"/>
        <bgColor indexed="64"/>
      </patternFill>
    </fill>
  </fills>
  <borders count="124">
    <border>
      <left/>
      <right/>
      <top/>
      <bottom/>
      <diagonal/>
    </border>
    <border>
      <left style="thin">
        <color indexed="23"/>
      </left>
      <right style="thin">
        <color indexed="23"/>
      </right>
      <top style="thin">
        <color indexed="23"/>
      </top>
      <bottom style="thin">
        <color indexed="23"/>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23"/>
      </left>
      <right style="medium">
        <color indexed="64"/>
      </right>
      <top style="thin">
        <color indexed="23"/>
      </top>
      <bottom style="thin">
        <color indexed="23"/>
      </bottom>
      <diagonal/>
    </border>
    <border>
      <left style="thin">
        <color indexed="64"/>
      </left>
      <right style="medium">
        <color indexed="64"/>
      </right>
      <top style="thin">
        <color indexed="64"/>
      </top>
      <bottom style="thin">
        <color indexed="64"/>
      </bottom>
      <diagonal/>
    </border>
    <border>
      <left style="medium">
        <color indexed="64"/>
      </left>
      <right style="thin">
        <color indexed="23"/>
      </right>
      <top style="thin">
        <color indexed="23"/>
      </top>
      <bottom style="thin">
        <color indexed="23"/>
      </bottom>
      <diagonal/>
    </border>
    <border>
      <left style="medium">
        <color indexed="64"/>
      </left>
      <right style="thin">
        <color indexed="23"/>
      </right>
      <top style="thin">
        <color indexed="23"/>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23"/>
      </left>
      <right style="thin">
        <color indexed="23"/>
      </right>
      <top style="medium">
        <color indexed="64"/>
      </top>
      <bottom style="medium">
        <color indexed="64"/>
      </bottom>
      <diagonal/>
    </border>
    <border>
      <left style="thin">
        <color indexed="23"/>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thin">
        <color indexed="64"/>
      </top>
      <bottom style="medium">
        <color indexed="64"/>
      </bottom>
      <diagonal/>
    </border>
    <border>
      <left style="thin">
        <color indexed="64"/>
      </left>
      <right/>
      <top style="medium">
        <color indexed="64"/>
      </top>
      <bottom/>
      <diagonal/>
    </border>
    <border>
      <left/>
      <right/>
      <top style="thin">
        <color indexed="64"/>
      </top>
      <bottom style="medium">
        <color indexed="64"/>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medium">
        <color indexed="64"/>
      </top>
      <bottom/>
      <diagonal/>
    </border>
    <border>
      <left/>
      <right style="thin">
        <color indexed="23"/>
      </right>
      <top style="thin">
        <color indexed="64"/>
      </top>
      <bottom style="thin">
        <color indexed="64"/>
      </bottom>
      <diagonal/>
    </border>
    <border>
      <left style="thin">
        <color indexed="23"/>
      </left>
      <right/>
      <top style="thin">
        <color indexed="23"/>
      </top>
      <bottom style="thin">
        <color indexed="23"/>
      </bottom>
      <diagonal/>
    </border>
    <border>
      <left/>
      <right/>
      <top style="thin">
        <color indexed="23"/>
      </top>
      <bottom style="thin">
        <color indexed="23"/>
      </bottom>
      <diagonal/>
    </border>
    <border>
      <left/>
      <right style="medium">
        <color indexed="64"/>
      </right>
      <top style="thin">
        <color indexed="23"/>
      </top>
      <bottom style="thin">
        <color indexed="23"/>
      </bottom>
      <diagonal/>
    </border>
    <border>
      <left style="thin">
        <color indexed="23"/>
      </left>
      <right style="thin">
        <color indexed="23"/>
      </right>
      <top style="thin">
        <color indexed="23"/>
      </top>
      <bottom style="medium">
        <color indexed="64"/>
      </bottom>
      <diagonal/>
    </border>
    <border>
      <left style="thin">
        <color indexed="23"/>
      </left>
      <right style="medium">
        <color indexed="64"/>
      </right>
      <top style="thin">
        <color indexed="23"/>
      </top>
      <bottom style="medium">
        <color indexed="64"/>
      </bottom>
      <diagonal/>
    </border>
    <border>
      <left/>
      <right style="thin">
        <color indexed="23"/>
      </right>
      <top style="thin">
        <color indexed="23"/>
      </top>
      <bottom style="thin">
        <color indexed="23"/>
      </bottom>
      <diagonal/>
    </border>
    <border>
      <left style="thin">
        <color indexed="23"/>
      </left>
      <right/>
      <top style="medium">
        <color indexed="64"/>
      </top>
      <bottom style="thin">
        <color indexed="23"/>
      </bottom>
      <diagonal/>
    </border>
    <border>
      <left/>
      <right style="thin">
        <color indexed="23"/>
      </right>
      <top style="medium">
        <color indexed="64"/>
      </top>
      <bottom style="thin">
        <color indexed="23"/>
      </bottom>
      <diagonal/>
    </border>
    <border>
      <left style="thin">
        <color indexed="23"/>
      </left>
      <right/>
      <top style="medium">
        <color indexed="64"/>
      </top>
      <bottom style="medium">
        <color indexed="64"/>
      </bottom>
      <diagonal/>
    </border>
    <border>
      <left style="medium">
        <color indexed="64"/>
      </left>
      <right style="thin">
        <color indexed="23"/>
      </right>
      <top style="medium">
        <color indexed="64"/>
      </top>
      <bottom style="thin">
        <color indexed="23"/>
      </bottom>
      <diagonal/>
    </border>
    <border>
      <left style="thin">
        <color indexed="23"/>
      </left>
      <right style="medium">
        <color indexed="64"/>
      </right>
      <top style="medium">
        <color indexed="64"/>
      </top>
      <bottom style="thin">
        <color indexed="23"/>
      </bottom>
      <diagonal/>
    </border>
    <border>
      <left style="thin">
        <color indexed="64"/>
      </left>
      <right/>
      <top/>
      <bottom style="medium">
        <color indexed="64"/>
      </bottom>
      <diagonal/>
    </border>
    <border>
      <left style="medium">
        <color indexed="64"/>
      </left>
      <right/>
      <top style="thin">
        <color indexed="23"/>
      </top>
      <bottom style="thin">
        <color indexed="23"/>
      </bottom>
      <diagonal/>
    </border>
    <border>
      <left style="thin">
        <color indexed="64"/>
      </left>
      <right/>
      <top style="thin">
        <color indexed="64"/>
      </top>
      <bottom style="thin">
        <color indexed="23"/>
      </bottom>
      <diagonal/>
    </border>
    <border>
      <left/>
      <right style="thin">
        <color indexed="64"/>
      </right>
      <top style="thin">
        <color indexed="64"/>
      </top>
      <bottom style="thin">
        <color indexed="23"/>
      </bottom>
      <diagonal/>
    </border>
    <border>
      <left/>
      <right style="thin">
        <color indexed="23"/>
      </right>
      <top style="medium">
        <color indexed="64"/>
      </top>
      <bottom/>
      <diagonal/>
    </border>
    <border>
      <left style="thin">
        <color indexed="23"/>
      </left>
      <right style="medium">
        <color indexed="64"/>
      </right>
      <top style="medium">
        <color indexed="64"/>
      </top>
      <bottom/>
      <diagonal/>
    </border>
    <border>
      <left style="medium">
        <color indexed="64"/>
      </left>
      <right style="thin">
        <color indexed="23"/>
      </right>
      <top style="medium">
        <color indexed="64"/>
      </top>
      <bottom style="medium">
        <color indexed="64"/>
      </bottom>
      <diagonal/>
    </border>
    <border>
      <left style="thin">
        <color indexed="23"/>
      </left>
      <right/>
      <top style="medium">
        <color indexed="64"/>
      </top>
      <bottom/>
      <diagonal/>
    </border>
    <border>
      <left style="medium">
        <color indexed="64"/>
      </left>
      <right/>
      <top style="thin">
        <color indexed="23"/>
      </top>
      <bottom style="medium">
        <color indexed="64"/>
      </bottom>
      <diagonal/>
    </border>
    <border>
      <left/>
      <right style="thin">
        <color indexed="23"/>
      </right>
      <top style="thin">
        <color indexed="23"/>
      </top>
      <bottom style="medium">
        <color indexed="64"/>
      </bottom>
      <diagonal/>
    </border>
    <border>
      <left style="thin">
        <color indexed="23"/>
      </left>
      <right/>
      <top style="thin">
        <color indexed="64"/>
      </top>
      <bottom style="thin">
        <color indexed="23"/>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23"/>
      </bottom>
      <diagonal/>
    </border>
    <border>
      <left style="medium">
        <color indexed="64"/>
      </left>
      <right style="thin">
        <color indexed="64"/>
      </right>
      <top/>
      <bottom style="medium">
        <color indexed="64"/>
      </bottom>
      <diagonal/>
    </border>
    <border>
      <left style="medium">
        <color indexed="64"/>
      </left>
      <right style="thin">
        <color indexed="23"/>
      </right>
      <top/>
      <bottom style="medium">
        <color indexed="64"/>
      </bottom>
      <diagonal/>
    </border>
    <border>
      <left style="thin">
        <color indexed="23"/>
      </left>
      <right style="medium">
        <color indexed="64"/>
      </right>
      <top/>
      <bottom style="medium">
        <color indexed="64"/>
      </bottom>
      <diagonal/>
    </border>
    <border>
      <left style="thin">
        <color indexed="23"/>
      </left>
      <right style="thin">
        <color indexed="23"/>
      </right>
      <top style="thin">
        <color indexed="64"/>
      </top>
      <bottom style="thin">
        <color indexed="23"/>
      </bottom>
      <diagonal/>
    </border>
    <border>
      <left/>
      <right style="thin">
        <color indexed="23"/>
      </right>
      <top/>
      <bottom/>
      <diagonal/>
    </border>
    <border>
      <left style="thin">
        <color indexed="23"/>
      </left>
      <right/>
      <top style="thin">
        <color indexed="23"/>
      </top>
      <bottom style="medium">
        <color indexed="64"/>
      </bottom>
      <diagonal/>
    </border>
    <border>
      <left/>
      <right style="medium">
        <color indexed="64"/>
      </right>
      <top style="thin">
        <color indexed="23"/>
      </top>
      <bottom style="medium">
        <color indexed="64"/>
      </bottom>
      <diagonal/>
    </border>
    <border>
      <left/>
      <right style="thin">
        <color indexed="23"/>
      </right>
      <top/>
      <bottom style="medium">
        <color indexed="64"/>
      </bottom>
      <diagonal/>
    </border>
    <border>
      <left/>
      <right style="thin">
        <color indexed="23"/>
      </right>
      <top style="medium">
        <color indexed="64"/>
      </top>
      <bottom style="medium">
        <color indexed="64"/>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7F7F7F"/>
      </left>
      <right style="medium">
        <color indexed="64"/>
      </right>
      <top style="medium">
        <color indexed="64"/>
      </top>
      <bottom style="medium">
        <color indexed="64"/>
      </bottom>
      <diagonal/>
    </border>
  </borders>
  <cellStyleXfs count="47">
    <xf numFmtId="0" fontId="0" fillId="0" borderId="0"/>
    <xf numFmtId="0" fontId="72" fillId="12" borderId="0" applyNumberFormat="0" applyBorder="0" applyAlignment="0" applyProtection="0"/>
    <xf numFmtId="0" fontId="72" fillId="13" borderId="0" applyNumberFormat="0" applyBorder="0" applyAlignment="0" applyProtection="0"/>
    <xf numFmtId="0" fontId="72" fillId="14" borderId="0" applyNumberFormat="0" applyBorder="0" applyAlignment="0" applyProtection="0"/>
    <xf numFmtId="0" fontId="72" fillId="15" borderId="0" applyNumberFormat="0" applyBorder="0" applyAlignment="0" applyProtection="0"/>
    <xf numFmtId="0" fontId="72" fillId="16" borderId="0" applyNumberFormat="0" applyBorder="0" applyAlignment="0" applyProtection="0"/>
    <xf numFmtId="0" fontId="72" fillId="17" borderId="0" applyNumberFormat="0" applyBorder="0" applyAlignment="0" applyProtection="0"/>
    <xf numFmtId="0" fontId="72" fillId="18" borderId="0" applyNumberFormat="0" applyBorder="0" applyAlignment="0" applyProtection="0"/>
    <xf numFmtId="0" fontId="72" fillId="19" borderId="0" applyNumberFormat="0" applyBorder="0" applyAlignment="0" applyProtection="0"/>
    <xf numFmtId="0" fontId="72" fillId="20" borderId="0" applyNumberFormat="0" applyBorder="0" applyAlignment="0" applyProtection="0"/>
    <xf numFmtId="0" fontId="72" fillId="21" borderId="0" applyNumberFormat="0" applyBorder="0" applyAlignment="0" applyProtection="0"/>
    <xf numFmtId="0" fontId="72" fillId="22" borderId="0" applyNumberFormat="0" applyBorder="0" applyAlignment="0" applyProtection="0"/>
    <xf numFmtId="0" fontId="72" fillId="23" borderId="0" applyNumberFormat="0" applyBorder="0" applyAlignment="0" applyProtection="0"/>
    <xf numFmtId="0" fontId="73" fillId="24" borderId="0" applyNumberFormat="0" applyBorder="0" applyAlignment="0" applyProtection="0"/>
    <xf numFmtId="0" fontId="73" fillId="25" borderId="0" applyNumberFormat="0" applyBorder="0" applyAlignment="0" applyProtection="0"/>
    <xf numFmtId="0" fontId="73" fillId="26" borderId="0" applyNumberFormat="0" applyBorder="0" applyAlignment="0" applyProtection="0"/>
    <xf numFmtId="0" fontId="73" fillId="27" borderId="0" applyNumberFormat="0" applyBorder="0" applyAlignment="0" applyProtection="0"/>
    <xf numFmtId="0" fontId="73" fillId="28" borderId="0" applyNumberFormat="0" applyBorder="0" applyAlignment="0" applyProtection="0"/>
    <xf numFmtId="0" fontId="73" fillId="29" borderId="0" applyNumberFormat="0" applyBorder="0" applyAlignment="0" applyProtection="0"/>
    <xf numFmtId="0" fontId="73" fillId="30" borderId="0" applyNumberFormat="0" applyBorder="0" applyAlignment="0" applyProtection="0"/>
    <xf numFmtId="0" fontId="73" fillId="31" borderId="0" applyNumberFormat="0" applyBorder="0" applyAlignment="0" applyProtection="0"/>
    <xf numFmtId="0" fontId="73" fillId="32" borderId="0" applyNumberFormat="0" applyBorder="0" applyAlignment="0" applyProtection="0"/>
    <xf numFmtId="0" fontId="73" fillId="33" borderId="0" applyNumberFormat="0" applyBorder="0" applyAlignment="0" applyProtection="0"/>
    <xf numFmtId="0" fontId="73" fillId="34" borderId="0" applyNumberFormat="0" applyBorder="0" applyAlignment="0" applyProtection="0"/>
    <xf numFmtId="0" fontId="73" fillId="35" borderId="0" applyNumberFormat="0" applyBorder="0" applyAlignment="0" applyProtection="0"/>
    <xf numFmtId="0" fontId="74" fillId="36" borderId="114" applyNumberFormat="0" applyAlignment="0" applyProtection="0"/>
    <xf numFmtId="0" fontId="75" fillId="37" borderId="115" applyNumberFormat="0" applyAlignment="0" applyProtection="0"/>
    <xf numFmtId="0" fontId="76" fillId="36" borderId="115" applyNumberFormat="0" applyAlignment="0" applyProtection="0"/>
    <xf numFmtId="0" fontId="77" fillId="38" borderId="115" applyNumberFormat="0" applyAlignment="0" applyProtection="0"/>
    <xf numFmtId="0" fontId="77" fillId="39" borderId="115" applyNumberFormat="0" applyAlignment="0" applyProtection="0"/>
    <xf numFmtId="0" fontId="78" fillId="0" borderId="116" applyNumberFormat="0" applyFill="0" applyAlignment="0" applyProtection="0"/>
    <xf numFmtId="0" fontId="79" fillId="0" borderId="0" applyNumberFormat="0" applyFill="0" applyBorder="0" applyAlignment="0" applyProtection="0"/>
    <xf numFmtId="0" fontId="80" fillId="40" borderId="0" applyNumberFormat="0" applyBorder="0" applyAlignment="0" applyProtection="0"/>
    <xf numFmtId="0" fontId="81" fillId="0" borderId="0" applyNumberFormat="0" applyFill="0" applyBorder="0" applyAlignment="0" applyProtection="0">
      <alignment vertical="top"/>
      <protection locked="0"/>
    </xf>
    <xf numFmtId="0" fontId="82" fillId="41" borderId="0" applyNumberFormat="0" applyBorder="0" applyAlignment="0" applyProtection="0"/>
    <xf numFmtId="0" fontId="37" fillId="42" borderId="117" applyNumberFormat="0" applyFont="0" applyAlignment="0" applyProtection="0"/>
    <xf numFmtId="9" fontId="15" fillId="0" borderId="0" applyFont="0" applyFill="0" applyBorder="0" applyAlignment="0" applyProtection="0"/>
    <xf numFmtId="0" fontId="83" fillId="43" borderId="0" applyNumberFormat="0" applyBorder="0" applyAlignment="0" applyProtection="0"/>
    <xf numFmtId="0" fontId="72" fillId="0" borderId="0"/>
    <xf numFmtId="0" fontId="84" fillId="0" borderId="0" applyNumberFormat="0" applyFill="0" applyBorder="0" applyAlignment="0" applyProtection="0"/>
    <xf numFmtId="0" fontId="85" fillId="0" borderId="118" applyNumberFormat="0" applyFill="0" applyAlignment="0" applyProtection="0"/>
    <xf numFmtId="0" fontId="86" fillId="0" borderId="119" applyNumberFormat="0" applyFill="0" applyAlignment="0" applyProtection="0"/>
    <xf numFmtId="0" fontId="87" fillId="0" borderId="120" applyNumberFormat="0" applyFill="0" applyAlignment="0" applyProtection="0"/>
    <xf numFmtId="0" fontId="87" fillId="0" borderId="0" applyNumberFormat="0" applyFill="0" applyBorder="0" applyAlignment="0" applyProtection="0"/>
    <xf numFmtId="0" fontId="88" fillId="0" borderId="121" applyNumberFormat="0" applyFill="0" applyAlignment="0" applyProtection="0"/>
    <xf numFmtId="0" fontId="89" fillId="0" borderId="0" applyNumberFormat="0" applyFill="0" applyBorder="0" applyAlignment="0" applyProtection="0"/>
    <xf numFmtId="0" fontId="90" fillId="44" borderId="122" applyNumberFormat="0" applyAlignment="0" applyProtection="0"/>
  </cellStyleXfs>
  <cellXfs count="1312">
    <xf numFmtId="0" fontId="0" fillId="0" borderId="0" xfId="0"/>
    <xf numFmtId="0" fontId="0" fillId="0" borderId="0" xfId="0" applyAlignment="1">
      <alignment horizontal="center"/>
    </xf>
    <xf numFmtId="0" fontId="3" fillId="0" borderId="0" xfId="0" applyFont="1" applyAlignment="1">
      <alignment horizontal="center"/>
    </xf>
    <xf numFmtId="0" fontId="1" fillId="0" borderId="0" xfId="0" applyFont="1" applyAlignment="1">
      <alignment horizontal="center"/>
    </xf>
    <xf numFmtId="0" fontId="3" fillId="0" borderId="0" xfId="0" applyFont="1" applyAlignment="1">
      <alignment horizontal="center" vertical="top"/>
    </xf>
    <xf numFmtId="168" fontId="0" fillId="0" borderId="0" xfId="0" applyNumberFormat="1" applyAlignment="1">
      <alignment horizontal="center" vertical="top"/>
    </xf>
    <xf numFmtId="0" fontId="0" fillId="0" borderId="0" xfId="0" applyAlignment="1">
      <alignment horizontal="center" vertical="top"/>
    </xf>
    <xf numFmtId="0" fontId="9" fillId="0" borderId="0" xfId="0" applyFont="1" applyAlignment="1">
      <alignment horizontal="center" vertical="top"/>
    </xf>
    <xf numFmtId="2" fontId="0" fillId="0" borderId="0" xfId="0" applyNumberFormat="1" applyAlignment="1">
      <alignment horizontal="center"/>
    </xf>
    <xf numFmtId="0" fontId="0" fillId="0" borderId="0" xfId="0" applyBorder="1"/>
    <xf numFmtId="0" fontId="0" fillId="0" borderId="0" xfId="0" applyBorder="1" applyAlignment="1">
      <alignment horizontal="center"/>
    </xf>
    <xf numFmtId="0" fontId="0" fillId="0" borderId="0" xfId="0" applyBorder="1" applyAlignment="1"/>
    <xf numFmtId="0" fontId="0" fillId="0" borderId="0" xfId="0" applyFill="1" applyBorder="1" applyAlignment="1">
      <alignment horizontal="center"/>
    </xf>
    <xf numFmtId="167" fontId="75" fillId="0" borderId="0" xfId="26" applyNumberFormat="1" applyFill="1" applyBorder="1" applyAlignment="1">
      <alignment horizontal="center"/>
    </xf>
    <xf numFmtId="0" fontId="3" fillId="0" borderId="0" xfId="0" applyFont="1" applyFill="1" applyBorder="1" applyAlignment="1">
      <alignment horizontal="center" vertical="top"/>
    </xf>
    <xf numFmtId="171" fontId="75" fillId="0" borderId="0" xfId="26" applyNumberFormat="1" applyFill="1" applyBorder="1" applyAlignment="1">
      <alignment horizontal="center" vertical="top"/>
    </xf>
    <xf numFmtId="0" fontId="3" fillId="0" borderId="0" xfId="0" applyFont="1" applyFill="1" applyBorder="1" applyAlignment="1">
      <alignment horizontal="center"/>
    </xf>
    <xf numFmtId="171" fontId="75" fillId="0" borderId="0" xfId="26" applyNumberFormat="1" applyFill="1" applyBorder="1" applyAlignment="1">
      <alignment horizontal="center"/>
    </xf>
    <xf numFmtId="170" fontId="75" fillId="0" borderId="0" xfId="26" applyNumberFormat="1" applyFill="1" applyBorder="1" applyAlignment="1">
      <alignment horizontal="center" vertical="top"/>
    </xf>
    <xf numFmtId="0" fontId="0" fillId="0" borderId="0" xfId="0" applyAlignment="1">
      <alignment wrapText="1"/>
    </xf>
    <xf numFmtId="0" fontId="81" fillId="0" borderId="0" xfId="33" applyAlignment="1" applyProtection="1">
      <alignment horizontal="center"/>
    </xf>
    <xf numFmtId="0" fontId="3" fillId="0" borderId="0" xfId="0" applyFont="1"/>
    <xf numFmtId="0" fontId="0" fillId="0" borderId="0" xfId="0" applyFill="1"/>
    <xf numFmtId="0" fontId="0" fillId="0" borderId="0" xfId="0" applyFill="1" applyBorder="1"/>
    <xf numFmtId="0" fontId="39" fillId="0" borderId="0" xfId="0" applyFont="1" applyFill="1" applyBorder="1" applyAlignment="1">
      <alignment horizontal="center"/>
    </xf>
    <xf numFmtId="11" fontId="39" fillId="0" borderId="0" xfId="0" applyNumberFormat="1" applyFont="1" applyFill="1" applyBorder="1" applyAlignment="1">
      <alignment horizontal="center"/>
    </xf>
    <xf numFmtId="0" fontId="1" fillId="2" borderId="2" xfId="0" applyFont="1" applyFill="1" applyBorder="1"/>
    <xf numFmtId="0" fontId="1" fillId="2" borderId="3" xfId="0" applyFont="1" applyFill="1" applyBorder="1" applyAlignment="1">
      <alignment horizontal="center"/>
    </xf>
    <xf numFmtId="0" fontId="0" fillId="2" borderId="4" xfId="0" applyFill="1" applyBorder="1" applyAlignment="1">
      <alignment vertical="center"/>
    </xf>
    <xf numFmtId="0" fontId="0" fillId="2" borderId="5" xfId="0" applyFill="1" applyBorder="1" applyAlignment="1">
      <alignment horizontal="center" vertical="center"/>
    </xf>
    <xf numFmtId="0" fontId="0" fillId="2" borderId="6" xfId="0" applyFill="1" applyBorder="1" applyAlignment="1">
      <alignment vertical="center"/>
    </xf>
    <xf numFmtId="0" fontId="0" fillId="2" borderId="7" xfId="0" applyFill="1" applyBorder="1" applyAlignment="1">
      <alignment horizontal="center" vertical="center"/>
    </xf>
    <xf numFmtId="0" fontId="2" fillId="0" borderId="0" xfId="0" applyFont="1"/>
    <xf numFmtId="164" fontId="0" fillId="0" borderId="0" xfId="0" applyNumberFormat="1" applyBorder="1"/>
    <xf numFmtId="11" fontId="2" fillId="0" borderId="0" xfId="0" applyNumberFormat="1" applyFont="1" applyBorder="1" applyAlignment="1">
      <alignment horizontal="center"/>
    </xf>
    <xf numFmtId="0" fontId="2" fillId="0" borderId="0" xfId="0" applyFont="1" applyFill="1" applyBorder="1" applyAlignment="1">
      <alignment horizontal="center"/>
    </xf>
    <xf numFmtId="0" fontId="2" fillId="0" borderId="0" xfId="0" applyFont="1" applyAlignment="1">
      <alignment horizontal="center"/>
    </xf>
    <xf numFmtId="175" fontId="16" fillId="37" borderId="8" xfId="26" applyNumberFormat="1" applyFont="1" applyBorder="1" applyAlignment="1">
      <alignment vertical="center"/>
    </xf>
    <xf numFmtId="0" fontId="2" fillId="0" borderId="0" xfId="0" applyFont="1" applyAlignment="1">
      <alignment horizontal="center" vertical="center" wrapText="1"/>
    </xf>
    <xf numFmtId="0" fontId="2" fillId="0" borderId="0" xfId="0" applyFont="1" applyAlignment="1">
      <alignment vertical="center" wrapText="1"/>
    </xf>
    <xf numFmtId="172" fontId="4" fillId="3" borderId="9" xfId="0" applyNumberFormat="1" applyFont="1" applyFill="1" applyBorder="1" applyAlignment="1" applyProtection="1">
      <alignment horizontal="center" vertical="center"/>
      <protection locked="0"/>
    </xf>
    <xf numFmtId="0" fontId="40" fillId="0" borderId="0" xfId="0" applyFont="1"/>
    <xf numFmtId="2" fontId="16" fillId="37" borderId="10" xfId="26" applyNumberFormat="1" applyFont="1" applyBorder="1" applyAlignment="1">
      <alignment horizontal="center" vertical="center"/>
    </xf>
    <xf numFmtId="2" fontId="16" fillId="37" borderId="11" xfId="26" applyNumberFormat="1" applyFont="1" applyBorder="1" applyAlignment="1">
      <alignment horizontal="center" vertical="center"/>
    </xf>
    <xf numFmtId="0" fontId="24" fillId="0" borderId="0" xfId="0" applyFont="1" applyFill="1" applyBorder="1" applyAlignment="1"/>
    <xf numFmtId="0" fontId="2" fillId="0" borderId="0" xfId="0" applyNumberFormat="1" applyFont="1" applyFill="1" applyBorder="1" applyAlignment="1" applyProtection="1">
      <protection locked="0" hidden="1"/>
    </xf>
    <xf numFmtId="0" fontId="24" fillId="0" borderId="0" xfId="0" applyFont="1" applyFill="1" applyBorder="1" applyAlignment="1">
      <alignment horizontal="center" vertical="center" wrapText="1"/>
    </xf>
    <xf numFmtId="2" fontId="16" fillId="0" borderId="0" xfId="26" applyNumberFormat="1" applyFont="1" applyFill="1" applyBorder="1" applyAlignment="1">
      <alignment horizontal="right" vertical="center"/>
    </xf>
    <xf numFmtId="2" fontId="16" fillId="0" borderId="0" xfId="26" applyNumberFormat="1" applyFont="1" applyFill="1" applyBorder="1" applyAlignment="1">
      <alignment horizontal="center" vertical="center"/>
    </xf>
    <xf numFmtId="0" fontId="16" fillId="0" borderId="0" xfId="26" applyFont="1" applyFill="1" applyBorder="1" applyAlignment="1">
      <alignment horizontal="center" vertical="center"/>
    </xf>
    <xf numFmtId="164" fontId="16" fillId="0" borderId="0" xfId="26" applyNumberFormat="1" applyFont="1" applyFill="1" applyBorder="1" applyAlignment="1">
      <alignment vertical="center"/>
    </xf>
    <xf numFmtId="0" fontId="41" fillId="0" borderId="0" xfId="26" applyFont="1" applyFill="1" applyBorder="1" applyAlignment="1">
      <alignment horizontal="center" vertical="top" wrapText="1"/>
    </xf>
    <xf numFmtId="166" fontId="24" fillId="0" borderId="0" xfId="0" applyNumberFormat="1" applyFont="1" applyFill="1" applyBorder="1" applyAlignment="1">
      <alignment horizontal="center" vertical="top"/>
    </xf>
    <xf numFmtId="166" fontId="5" fillId="0" borderId="0" xfId="0" applyNumberFormat="1" applyFont="1" applyFill="1" applyBorder="1" applyAlignment="1">
      <alignment horizontal="center" vertical="top"/>
    </xf>
    <xf numFmtId="0" fontId="5" fillId="0" borderId="0" xfId="0" applyFont="1" applyFill="1" applyBorder="1" applyAlignment="1">
      <alignment vertical="top"/>
    </xf>
    <xf numFmtId="0" fontId="5" fillId="0" borderId="0" xfId="0" applyFont="1" applyFill="1" applyBorder="1" applyAlignment="1">
      <alignment vertical="center"/>
    </xf>
    <xf numFmtId="0" fontId="2" fillId="0" borderId="0" xfId="0" applyFont="1" applyFill="1" applyBorder="1"/>
    <xf numFmtId="0" fontId="2" fillId="0" borderId="0" xfId="0" applyFont="1" applyFill="1" applyBorder="1" applyAlignment="1">
      <alignment vertical="top" wrapText="1"/>
    </xf>
    <xf numFmtId="0" fontId="2" fillId="0" borderId="0" xfId="0" applyFont="1" applyFill="1" applyBorder="1" applyAlignment="1">
      <alignment horizontal="left" vertical="top" wrapText="1"/>
    </xf>
    <xf numFmtId="0" fontId="5" fillId="0" borderId="0" xfId="0" applyFont="1" applyFill="1" applyBorder="1" applyAlignment="1">
      <alignment horizontal="center" vertical="top"/>
    </xf>
    <xf numFmtId="0" fontId="4" fillId="0" borderId="0" xfId="0" applyFont="1" applyFill="1" applyBorder="1" applyAlignment="1">
      <alignment vertical="center" wrapText="1"/>
    </xf>
    <xf numFmtId="0" fontId="5" fillId="0" borderId="0" xfId="0" applyFont="1" applyFill="1" applyBorder="1" applyAlignment="1">
      <alignment horizontal="center" vertical="center" wrapText="1"/>
    </xf>
    <xf numFmtId="0" fontId="0" fillId="0" borderId="0" xfId="0" applyFill="1" applyBorder="1" applyAlignment="1">
      <alignment wrapText="1"/>
    </xf>
    <xf numFmtId="0" fontId="1" fillId="0" borderId="0" xfId="0" applyFont="1" applyFill="1" applyBorder="1" applyAlignment="1">
      <alignment vertical="center"/>
    </xf>
    <xf numFmtId="0" fontId="0" fillId="0" borderId="0" xfId="0" applyFill="1" applyBorder="1" applyAlignment="1"/>
    <xf numFmtId="0" fontId="2" fillId="2" borderId="5" xfId="0" applyFont="1" applyFill="1" applyBorder="1" applyAlignment="1">
      <alignment horizontal="center" vertical="center"/>
    </xf>
    <xf numFmtId="0" fontId="26" fillId="2" borderId="12" xfId="0" applyFont="1" applyFill="1" applyBorder="1" applyAlignment="1">
      <alignment vertical="center"/>
    </xf>
    <xf numFmtId="0" fontId="26" fillId="2" borderId="13" xfId="0" applyFont="1" applyFill="1" applyBorder="1" applyAlignment="1">
      <alignment vertical="center"/>
    </xf>
    <xf numFmtId="0" fontId="26" fillId="2" borderId="14" xfId="0" applyFont="1" applyFill="1" applyBorder="1" applyAlignment="1">
      <alignment vertical="center"/>
    </xf>
    <xf numFmtId="0" fontId="42" fillId="0" borderId="0" xfId="0" applyFont="1" applyFill="1" applyBorder="1" applyAlignment="1">
      <alignment horizontal="center"/>
    </xf>
    <xf numFmtId="0" fontId="2" fillId="0" borderId="0" xfId="0" applyFont="1" applyFill="1" applyBorder="1" applyAlignment="1">
      <alignment horizontal="center" vertical="top" wrapText="1"/>
    </xf>
    <xf numFmtId="0" fontId="26" fillId="2" borderId="0" xfId="0" applyFont="1" applyFill="1" applyBorder="1" applyAlignment="1">
      <alignment vertical="center"/>
    </xf>
    <xf numFmtId="0" fontId="26" fillId="2" borderId="15" xfId="0" applyFont="1" applyFill="1" applyBorder="1" applyAlignment="1">
      <alignment vertical="center"/>
    </xf>
    <xf numFmtId="175" fontId="16" fillId="37" borderId="8" xfId="26" applyNumberFormat="1" applyFont="1" applyBorder="1" applyAlignment="1">
      <alignment horizontal="right" vertical="center"/>
    </xf>
    <xf numFmtId="175" fontId="16" fillId="37" borderId="8" xfId="26" applyNumberFormat="1" applyFont="1" applyBorder="1" applyAlignment="1">
      <alignment horizontal="center" vertical="center"/>
    </xf>
    <xf numFmtId="0" fontId="1" fillId="0" borderId="0" xfId="0" applyFont="1" applyFill="1" applyBorder="1" applyAlignment="1" applyProtection="1">
      <alignment vertical="center"/>
    </xf>
    <xf numFmtId="0" fontId="4" fillId="0" borderId="0" xfId="0" applyFont="1" applyFill="1" applyBorder="1" applyAlignment="1">
      <alignment vertical="top" wrapText="1"/>
    </xf>
    <xf numFmtId="0" fontId="14" fillId="0" borderId="0" xfId="26" applyFont="1" applyFill="1" applyBorder="1" applyAlignment="1">
      <alignment horizontal="left"/>
    </xf>
    <xf numFmtId="0" fontId="4" fillId="0" borderId="0" xfId="0" applyFont="1" applyFill="1" applyBorder="1" applyAlignment="1">
      <alignment horizontal="center" vertical="center"/>
    </xf>
    <xf numFmtId="166" fontId="38" fillId="0" borderId="0" xfId="26" applyNumberFormat="1" applyFont="1" applyFill="1" applyBorder="1" applyAlignment="1">
      <alignment horizontal="center" vertical="center"/>
    </xf>
    <xf numFmtId="0" fontId="4" fillId="3" borderId="16" xfId="0" applyFont="1" applyFill="1" applyBorder="1" applyAlignment="1" applyProtection="1">
      <alignment horizontal="center" vertical="center"/>
      <protection locked="0"/>
    </xf>
    <xf numFmtId="9" fontId="4" fillId="3" borderId="9" xfId="36" applyFont="1" applyFill="1" applyBorder="1" applyAlignment="1" applyProtection="1">
      <alignment horizontal="center" vertical="center"/>
      <protection locked="0"/>
    </xf>
    <xf numFmtId="169" fontId="13" fillId="0" borderId="0" xfId="26" applyNumberFormat="1" applyFont="1" applyFill="1" applyBorder="1" applyAlignment="1">
      <alignment horizontal="center" vertical="center" wrapText="1"/>
    </xf>
    <xf numFmtId="175" fontId="0" fillId="0" borderId="0" xfId="0" applyNumberFormat="1" applyFill="1" applyBorder="1" applyAlignment="1">
      <alignment wrapText="1"/>
    </xf>
    <xf numFmtId="167" fontId="4" fillId="3" borderId="9" xfId="0" applyNumberFormat="1" applyFont="1" applyFill="1" applyBorder="1" applyAlignment="1" applyProtection="1">
      <alignment horizontal="center" vertical="center"/>
      <protection locked="0"/>
    </xf>
    <xf numFmtId="0" fontId="26" fillId="0" borderId="0" xfId="0" applyFont="1" applyFill="1" applyBorder="1" applyAlignment="1">
      <alignment horizontal="center" vertical="center"/>
    </xf>
    <xf numFmtId="0" fontId="38" fillId="0" borderId="17" xfId="26" applyFont="1" applyFill="1" applyBorder="1" applyAlignment="1"/>
    <xf numFmtId="171" fontId="38" fillId="0" borderId="18" xfId="26" applyNumberFormat="1" applyFont="1" applyFill="1" applyBorder="1" applyAlignment="1">
      <alignment horizontal="center"/>
    </xf>
    <xf numFmtId="0" fontId="38" fillId="0" borderId="18" xfId="26" applyFont="1" applyFill="1" applyBorder="1" applyAlignment="1"/>
    <xf numFmtId="171" fontId="38" fillId="0" borderId="19" xfId="26" applyNumberFormat="1" applyFont="1" applyFill="1" applyBorder="1" applyAlignment="1">
      <alignment horizontal="center"/>
    </xf>
    <xf numFmtId="0" fontId="0" fillId="0" borderId="13" xfId="0" applyFill="1" applyBorder="1" applyAlignment="1"/>
    <xf numFmtId="0" fontId="26" fillId="2" borderId="20" xfId="0" applyFont="1" applyFill="1" applyBorder="1" applyAlignment="1">
      <alignment vertical="center"/>
    </xf>
    <xf numFmtId="0" fontId="43" fillId="0" borderId="0" xfId="26" applyFont="1" applyFill="1" applyBorder="1" applyAlignment="1">
      <alignment horizontal="center" vertical="center" wrapText="1"/>
    </xf>
    <xf numFmtId="179" fontId="43" fillId="0" borderId="0" xfId="26" applyNumberFormat="1" applyFont="1" applyFill="1" applyBorder="1" applyAlignment="1">
      <alignment horizontal="center" vertical="center" wrapText="1"/>
    </xf>
    <xf numFmtId="0" fontId="0" fillId="0" borderId="21" xfId="0" applyFill="1" applyBorder="1" applyAlignment="1"/>
    <xf numFmtId="0" fontId="0" fillId="0" borderId="22" xfId="0" applyFill="1" applyBorder="1" applyAlignment="1"/>
    <xf numFmtId="0" fontId="26" fillId="0" borderId="18" xfId="0" applyFont="1" applyFill="1" applyBorder="1" applyAlignment="1">
      <alignment horizontal="center" vertical="center"/>
    </xf>
    <xf numFmtId="0" fontId="0" fillId="0" borderId="20" xfId="0" applyFill="1" applyBorder="1" applyAlignment="1">
      <alignment horizontal="center"/>
    </xf>
    <xf numFmtId="0" fontId="5" fillId="0" borderId="15" xfId="0" applyFont="1" applyFill="1" applyBorder="1" applyAlignment="1">
      <alignment horizontal="center" vertical="top"/>
    </xf>
    <xf numFmtId="0" fontId="2" fillId="0" borderId="23" xfId="0" applyFont="1" applyFill="1" applyBorder="1" applyAlignment="1">
      <alignment vertical="top" wrapText="1"/>
    </xf>
    <xf numFmtId="0" fontId="0" fillId="0" borderId="24" xfId="0" applyFill="1" applyBorder="1" applyAlignment="1"/>
    <xf numFmtId="0" fontId="35" fillId="0" borderId="0" xfId="0" applyFont="1"/>
    <xf numFmtId="0" fontId="0" fillId="0" borderId="17" xfId="0" applyFill="1" applyBorder="1" applyAlignment="1">
      <alignment horizontal="center"/>
    </xf>
    <xf numFmtId="0" fontId="0" fillId="0" borderId="18" xfId="0" applyFill="1" applyBorder="1" applyAlignment="1">
      <alignment horizontal="center"/>
    </xf>
    <xf numFmtId="0" fontId="2" fillId="0" borderId="0" xfId="0" applyFont="1" applyBorder="1" applyAlignment="1">
      <alignment horizontal="left" vertical="center" wrapText="1"/>
    </xf>
    <xf numFmtId="0" fontId="2" fillId="0" borderId="0" xfId="0" applyFont="1" applyBorder="1" applyAlignment="1">
      <alignment horizontal="left"/>
    </xf>
    <xf numFmtId="0" fontId="2" fillId="0" borderId="0" xfId="0" applyFont="1" applyBorder="1"/>
    <xf numFmtId="2" fontId="4" fillId="38" borderId="115" xfId="28" applyNumberFormat="1" applyFont="1" applyAlignment="1" applyProtection="1">
      <alignment horizontal="center" vertical="top"/>
      <protection locked="0"/>
    </xf>
    <xf numFmtId="0" fontId="5" fillId="0" borderId="20"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26" fillId="0" borderId="18" xfId="0" applyFont="1" applyFill="1" applyBorder="1" applyAlignment="1">
      <alignment vertical="center"/>
    </xf>
    <xf numFmtId="0" fontId="21" fillId="0" borderId="18" xfId="0" applyFont="1" applyFill="1" applyBorder="1" applyAlignment="1">
      <alignment horizontal="center" vertical="center"/>
    </xf>
    <xf numFmtId="0" fontId="3" fillId="0" borderId="18" xfId="0" applyFont="1" applyFill="1" applyBorder="1" applyAlignment="1">
      <alignment horizontal="left"/>
    </xf>
    <xf numFmtId="0" fontId="10" fillId="0" borderId="18" xfId="28" applyFont="1" applyFill="1" applyBorder="1" applyAlignment="1" applyProtection="1">
      <alignment horizontal="left" vertical="center" wrapText="1"/>
      <protection locked="0"/>
    </xf>
    <xf numFmtId="0" fontId="39" fillId="0" borderId="18" xfId="28" applyFont="1" applyFill="1" applyBorder="1" applyAlignment="1" applyProtection="1">
      <alignment horizontal="left" vertical="center" wrapText="1"/>
      <protection locked="0"/>
    </xf>
    <xf numFmtId="0" fontId="3" fillId="0" borderId="17" xfId="0" applyFont="1" applyFill="1" applyBorder="1" applyAlignment="1">
      <alignment horizontal="left"/>
    </xf>
    <xf numFmtId="0" fontId="1" fillId="2" borderId="25" xfId="0" applyFont="1" applyFill="1" applyBorder="1" applyAlignment="1">
      <alignment horizontal="center"/>
    </xf>
    <xf numFmtId="0" fontId="1" fillId="2" borderId="26" xfId="0" applyFont="1" applyFill="1" applyBorder="1" applyAlignment="1">
      <alignment horizontal="center"/>
    </xf>
    <xf numFmtId="0" fontId="24" fillId="4" borderId="4" xfId="0" applyFont="1" applyFill="1" applyBorder="1" applyAlignment="1">
      <alignment horizontal="center" vertical="center" wrapText="1"/>
    </xf>
    <xf numFmtId="0" fontId="24" fillId="4" borderId="9" xfId="0" applyFont="1" applyFill="1" applyBorder="1" applyAlignment="1">
      <alignment horizontal="center" vertical="center" wrapText="1"/>
    </xf>
    <xf numFmtId="0" fontId="24" fillId="5" borderId="4" xfId="0" applyFont="1" applyFill="1" applyBorder="1" applyAlignment="1">
      <alignment horizontal="center" vertical="center" wrapText="1"/>
    </xf>
    <xf numFmtId="0" fontId="24" fillId="5" borderId="9" xfId="0" applyFont="1" applyFill="1" applyBorder="1" applyAlignment="1">
      <alignment horizontal="center" vertical="center" wrapText="1"/>
    </xf>
    <xf numFmtId="0" fontId="24" fillId="6" borderId="4" xfId="0" applyFont="1" applyFill="1" applyBorder="1" applyAlignment="1">
      <alignment horizontal="center" vertical="center" wrapText="1"/>
    </xf>
    <xf numFmtId="0" fontId="24" fillId="6" borderId="9" xfId="0" applyFont="1" applyFill="1" applyBorder="1" applyAlignment="1">
      <alignment horizontal="center" vertical="center" wrapText="1"/>
    </xf>
    <xf numFmtId="0" fontId="24" fillId="0" borderId="0" xfId="0" applyFont="1" applyFill="1" applyBorder="1" applyAlignment="1">
      <alignment horizontal="center"/>
    </xf>
    <xf numFmtId="0" fontId="0" fillId="0" borderId="0" xfId="0" applyFill="1" applyAlignment="1">
      <alignment vertical="center"/>
    </xf>
    <xf numFmtId="0" fontId="38" fillId="2" borderId="6" xfId="26" applyFont="1" applyFill="1" applyBorder="1" applyAlignment="1">
      <alignment horizontal="center"/>
    </xf>
    <xf numFmtId="171" fontId="38" fillId="2" borderId="27" xfId="26" applyNumberFormat="1" applyFont="1" applyFill="1" applyBorder="1" applyAlignment="1">
      <alignment horizontal="center"/>
    </xf>
    <xf numFmtId="0" fontId="5" fillId="2" borderId="3" xfId="0" applyFont="1" applyFill="1" applyBorder="1" applyAlignment="1">
      <alignment horizontal="center" vertical="top"/>
    </xf>
    <xf numFmtId="0" fontId="2" fillId="2" borderId="28" xfId="0" applyFont="1" applyFill="1" applyBorder="1" applyAlignment="1">
      <alignment horizontal="center" vertical="center"/>
    </xf>
    <xf numFmtId="0" fontId="16" fillId="2" borderId="29" xfId="26" applyFont="1" applyFill="1" applyBorder="1" applyAlignment="1">
      <alignment horizontal="center" vertical="center"/>
    </xf>
    <xf numFmtId="0" fontId="51" fillId="0" borderId="0" xfId="0" applyFont="1"/>
    <xf numFmtId="0" fontId="51" fillId="0" borderId="0" xfId="0" applyFont="1" applyAlignment="1">
      <alignment horizontal="center"/>
    </xf>
    <xf numFmtId="0" fontId="21" fillId="0" borderId="0" xfId="0" applyNumberFormat="1" applyFont="1" applyFill="1" applyBorder="1" applyAlignment="1">
      <alignment horizontal="center" vertical="center"/>
    </xf>
    <xf numFmtId="167" fontId="38" fillId="0" borderId="0" xfId="26" applyNumberFormat="1" applyFont="1" applyFill="1" applyBorder="1" applyAlignment="1" applyProtection="1">
      <alignment vertical="center"/>
      <protection locked="0"/>
    </xf>
    <xf numFmtId="0" fontId="41" fillId="2" borderId="30" xfId="26" applyFont="1" applyFill="1" applyBorder="1" applyAlignment="1">
      <alignment horizontal="center"/>
    </xf>
    <xf numFmtId="178" fontId="41" fillId="2" borderId="31" xfId="26" applyNumberFormat="1" applyFont="1" applyFill="1" applyBorder="1" applyAlignment="1">
      <alignment horizontal="center"/>
    </xf>
    <xf numFmtId="0" fontId="2" fillId="2" borderId="20" xfId="0" applyFont="1" applyFill="1" applyBorder="1"/>
    <xf numFmtId="0" fontId="2" fillId="2" borderId="0" xfId="0" applyFont="1" applyFill="1" applyBorder="1" applyAlignment="1">
      <alignment horizontal="center"/>
    </xf>
    <xf numFmtId="0" fontId="2" fillId="2" borderId="12" xfId="0" applyFont="1" applyFill="1" applyBorder="1"/>
    <xf numFmtId="0" fontId="2" fillId="2" borderId="13" xfId="0" applyFont="1" applyFill="1" applyBorder="1" applyAlignment="1">
      <alignment horizontal="center"/>
    </xf>
    <xf numFmtId="0" fontId="2" fillId="2" borderId="28" xfId="0" applyFont="1" applyFill="1" applyBorder="1" applyAlignment="1">
      <alignment horizontal="center"/>
    </xf>
    <xf numFmtId="0" fontId="2" fillId="2" borderId="5" xfId="0" applyFont="1" applyFill="1" applyBorder="1" applyAlignment="1">
      <alignment horizontal="center"/>
    </xf>
    <xf numFmtId="0" fontId="31" fillId="2" borderId="28" xfId="26" applyFont="1" applyFill="1" applyBorder="1" applyAlignment="1">
      <alignment horizontal="center"/>
    </xf>
    <xf numFmtId="0" fontId="2" fillId="2" borderId="32" xfId="0" applyFont="1" applyFill="1" applyBorder="1" applyAlignment="1">
      <alignment horizontal="center" vertical="center"/>
    </xf>
    <xf numFmtId="0" fontId="2" fillId="2" borderId="7" xfId="0" applyFont="1" applyFill="1" applyBorder="1" applyAlignment="1">
      <alignment horizontal="center" vertical="center"/>
    </xf>
    <xf numFmtId="0" fontId="41" fillId="2" borderId="33" xfId="26" applyFont="1" applyFill="1" applyBorder="1" applyAlignment="1">
      <alignment horizontal="center" vertical="top" wrapText="1"/>
    </xf>
    <xf numFmtId="0" fontId="2" fillId="2" borderId="34" xfId="0" applyFont="1" applyFill="1" applyBorder="1" applyAlignment="1">
      <alignment vertical="top"/>
    </xf>
    <xf numFmtId="0" fontId="0" fillId="2" borderId="21" xfId="0" applyFill="1" applyBorder="1" applyAlignment="1">
      <alignment horizontal="center"/>
    </xf>
    <xf numFmtId="0" fontId="2" fillId="2" borderId="34" xfId="0" applyFont="1" applyFill="1" applyBorder="1" applyAlignment="1" applyProtection="1">
      <alignment vertical="top"/>
      <protection locked="0"/>
    </xf>
    <xf numFmtId="0" fontId="0" fillId="2" borderId="35" xfId="0" applyFill="1" applyBorder="1" applyAlignment="1" applyProtection="1">
      <protection locked="0"/>
    </xf>
    <xf numFmtId="165" fontId="4" fillId="38" borderId="9" xfId="28" applyNumberFormat="1" applyFont="1" applyBorder="1" applyAlignment="1" applyProtection="1">
      <alignment horizontal="center" vertical="center"/>
      <protection locked="0"/>
    </xf>
    <xf numFmtId="176" fontId="4" fillId="38" borderId="36" xfId="28" applyNumberFormat="1" applyFont="1" applyBorder="1" applyAlignment="1" applyProtection="1">
      <alignment horizontal="center" vertical="center"/>
      <protection locked="0"/>
    </xf>
    <xf numFmtId="0" fontId="2" fillId="2" borderId="3" xfId="0" applyFont="1" applyFill="1" applyBorder="1" applyAlignment="1" applyProtection="1">
      <alignment horizontal="center" vertical="center"/>
    </xf>
    <xf numFmtId="0" fontId="31" fillId="2" borderId="5" xfId="26" applyFont="1" applyFill="1" applyBorder="1" applyAlignment="1" applyProtection="1">
      <alignment horizontal="center" vertical="center"/>
    </xf>
    <xf numFmtId="0" fontId="31" fillId="2" borderId="28" xfId="26" applyFont="1" applyFill="1" applyBorder="1" applyAlignment="1" applyProtection="1">
      <alignment horizontal="center" vertical="center"/>
    </xf>
    <xf numFmtId="0" fontId="31" fillId="2" borderId="32" xfId="26" applyFont="1" applyFill="1" applyBorder="1" applyAlignment="1" applyProtection="1">
      <alignment horizontal="center" vertical="center"/>
    </xf>
    <xf numFmtId="0" fontId="31" fillId="2" borderId="7" xfId="26" applyFont="1" applyFill="1" applyBorder="1" applyAlignment="1" applyProtection="1">
      <alignment horizontal="center"/>
    </xf>
    <xf numFmtId="0" fontId="16" fillId="2" borderId="34" xfId="26" applyFont="1" applyFill="1" applyBorder="1" applyAlignment="1" applyProtection="1">
      <alignment horizontal="left" vertical="center"/>
    </xf>
    <xf numFmtId="0" fontId="16" fillId="2" borderId="37" xfId="26" applyFont="1" applyFill="1" applyBorder="1" applyAlignment="1" applyProtection="1">
      <alignment horizontal="left" vertical="center"/>
    </xf>
    <xf numFmtId="0" fontId="16" fillId="2" borderId="38" xfId="26" applyFont="1" applyFill="1" applyBorder="1" applyAlignment="1" applyProtection="1">
      <alignment horizontal="left" vertical="center"/>
    </xf>
    <xf numFmtId="0" fontId="41" fillId="2" borderId="33" xfId="26" applyFont="1" applyFill="1" applyBorder="1" applyAlignment="1" applyProtection="1">
      <alignment horizontal="center" vertical="top" wrapText="1"/>
    </xf>
    <xf numFmtId="0" fontId="30" fillId="2" borderId="21" xfId="26" applyFont="1" applyFill="1" applyBorder="1" applyAlignment="1" applyProtection="1">
      <alignment vertical="top" wrapText="1"/>
    </xf>
    <xf numFmtId="0" fontId="30" fillId="2" borderId="21" xfId="26" applyFont="1" applyFill="1" applyBorder="1" applyAlignment="1">
      <alignment vertical="top" wrapText="1"/>
    </xf>
    <xf numFmtId="0" fontId="26" fillId="0" borderId="18" xfId="0" applyFont="1" applyFill="1" applyBorder="1" applyAlignment="1" applyProtection="1">
      <alignment horizontal="center" vertical="center"/>
    </xf>
    <xf numFmtId="0" fontId="21" fillId="0" borderId="18" xfId="0" applyFont="1" applyFill="1" applyBorder="1" applyAlignment="1" applyProtection="1">
      <alignment horizontal="center" vertical="center"/>
    </xf>
    <xf numFmtId="0" fontId="0" fillId="2" borderId="21" xfId="0" applyFill="1" applyBorder="1" applyAlignment="1" applyProtection="1">
      <alignment horizontal="center"/>
    </xf>
    <xf numFmtId="0" fontId="0" fillId="0" borderId="20" xfId="0" applyFill="1" applyBorder="1" applyAlignment="1" applyProtection="1">
      <alignment horizontal="center"/>
    </xf>
    <xf numFmtId="0" fontId="0" fillId="0" borderId="0" xfId="0" applyFill="1" applyBorder="1" applyAlignment="1" applyProtection="1">
      <alignment horizontal="center"/>
    </xf>
    <xf numFmtId="0" fontId="5" fillId="0" borderId="15" xfId="0" applyFont="1" applyFill="1" applyBorder="1" applyAlignment="1" applyProtection="1">
      <alignment horizontal="center" vertical="top"/>
    </xf>
    <xf numFmtId="0" fontId="48" fillId="2" borderId="5" xfId="0" applyFont="1" applyFill="1" applyBorder="1" applyAlignment="1" applyProtection="1">
      <alignment horizontal="center" vertical="center"/>
    </xf>
    <xf numFmtId="0" fontId="43" fillId="2" borderId="5" xfId="26" applyFont="1" applyFill="1" applyBorder="1" applyAlignment="1" applyProtection="1">
      <alignment horizontal="center" vertical="center"/>
    </xf>
    <xf numFmtId="0" fontId="31" fillId="2" borderId="5" xfId="26" applyFont="1" applyFill="1" applyBorder="1" applyAlignment="1" applyProtection="1">
      <alignment horizontal="center"/>
    </xf>
    <xf numFmtId="166" fontId="38" fillId="37" borderId="9" xfId="26" applyNumberFormat="1" applyFont="1" applyBorder="1" applyAlignment="1" applyProtection="1">
      <alignment horizontal="center" vertical="center"/>
    </xf>
    <xf numFmtId="0" fontId="4" fillId="0" borderId="17" xfId="0" applyFont="1" applyFill="1" applyBorder="1" applyAlignment="1" applyProtection="1">
      <alignment vertical="center" wrapText="1"/>
    </xf>
    <xf numFmtId="0" fontId="4" fillId="0" borderId="18" xfId="0" applyFont="1" applyFill="1" applyBorder="1" applyAlignment="1" applyProtection="1">
      <alignment vertical="center" wrapText="1"/>
    </xf>
    <xf numFmtId="0" fontId="4" fillId="0" borderId="19" xfId="0" applyFont="1" applyFill="1" applyBorder="1" applyAlignment="1" applyProtection="1">
      <alignment vertical="center" wrapText="1"/>
    </xf>
    <xf numFmtId="0" fontId="5" fillId="7" borderId="24" xfId="0" applyFont="1" applyFill="1" applyBorder="1" applyAlignment="1" applyProtection="1">
      <alignment vertical="center"/>
    </xf>
    <xf numFmtId="0" fontId="38" fillId="2" borderId="5" xfId="26" applyFont="1" applyFill="1" applyBorder="1" applyAlignment="1" applyProtection="1">
      <alignment horizontal="center" vertical="center"/>
    </xf>
    <xf numFmtId="173" fontId="38" fillId="2" borderId="39" xfId="26" applyNumberFormat="1" applyFont="1" applyFill="1" applyBorder="1" applyAlignment="1" applyProtection="1">
      <alignment horizontal="center" vertical="center"/>
    </xf>
    <xf numFmtId="0" fontId="38" fillId="2" borderId="5" xfId="26" applyFont="1" applyFill="1" applyBorder="1" applyAlignment="1" applyProtection="1">
      <alignment horizontal="center"/>
    </xf>
    <xf numFmtId="173" fontId="38" fillId="2" borderId="9" xfId="26" applyNumberFormat="1" applyFont="1" applyFill="1" applyBorder="1" applyAlignment="1" applyProtection="1">
      <alignment horizontal="center"/>
    </xf>
    <xf numFmtId="0" fontId="0" fillId="0" borderId="20" xfId="0" applyFill="1" applyBorder="1" applyAlignment="1" applyProtection="1"/>
    <xf numFmtId="0" fontId="0" fillId="0" borderId="0" xfId="0" applyFill="1" applyBorder="1" applyAlignment="1" applyProtection="1"/>
    <xf numFmtId="0" fontId="0" fillId="0" borderId="0" xfId="0" applyProtection="1"/>
    <xf numFmtId="0" fontId="21" fillId="0" borderId="0" xfId="0" applyFont="1" applyAlignment="1" applyProtection="1">
      <alignment horizontal="center"/>
    </xf>
    <xf numFmtId="0" fontId="1" fillId="0" borderId="40" xfId="0" applyFont="1" applyBorder="1" applyProtection="1"/>
    <xf numFmtId="0" fontId="1" fillId="0" borderId="41" xfId="0" applyFont="1" applyBorder="1" applyProtection="1"/>
    <xf numFmtId="0" fontId="4" fillId="0" borderId="37" xfId="0" applyFont="1" applyBorder="1" applyAlignment="1" applyProtection="1">
      <alignment horizontal="left"/>
    </xf>
    <xf numFmtId="0" fontId="4" fillId="0" borderId="37" xfId="0" applyFont="1" applyBorder="1" applyAlignment="1" applyProtection="1">
      <alignment horizontal="center"/>
    </xf>
    <xf numFmtId="0" fontId="3" fillId="0" borderId="42" xfId="0" applyFont="1" applyBorder="1" applyAlignment="1" applyProtection="1">
      <alignment horizontal="center"/>
    </xf>
    <xf numFmtId="0" fontId="22" fillId="0" borderId="43" xfId="0" applyFont="1" applyBorder="1" applyAlignment="1" applyProtection="1">
      <alignment horizontal="center"/>
    </xf>
    <xf numFmtId="0" fontId="3" fillId="0" borderId="44" xfId="0" applyFont="1" applyBorder="1" applyAlignment="1" applyProtection="1">
      <alignment horizontal="center"/>
    </xf>
    <xf numFmtId="0" fontId="22" fillId="0" borderId="37" xfId="0" applyFont="1" applyBorder="1" applyAlignment="1" applyProtection="1">
      <alignment horizontal="center"/>
    </xf>
    <xf numFmtId="0" fontId="22" fillId="0" borderId="37" xfId="0" applyFont="1" applyFill="1" applyBorder="1" applyAlignment="1" applyProtection="1">
      <alignment horizontal="center"/>
    </xf>
    <xf numFmtId="0" fontId="20" fillId="0" borderId="0" xfId="0" applyFont="1" applyProtection="1"/>
    <xf numFmtId="0" fontId="11" fillId="0" borderId="21" xfId="0" applyFont="1" applyFill="1" applyBorder="1" applyProtection="1"/>
    <xf numFmtId="165" fontId="10" fillId="0" borderId="22" xfId="0" applyNumberFormat="1" applyFont="1" applyFill="1" applyBorder="1" applyAlignment="1" applyProtection="1">
      <alignment horizontal="center"/>
    </xf>
    <xf numFmtId="0" fontId="2" fillId="0" borderId="24" xfId="0" applyFont="1" applyFill="1" applyBorder="1" applyAlignment="1" applyProtection="1">
      <alignment horizontal="center"/>
    </xf>
    <xf numFmtId="0" fontId="11" fillId="0" borderId="12" xfId="0" applyFont="1" applyFill="1" applyBorder="1" applyProtection="1"/>
    <xf numFmtId="165" fontId="10" fillId="0" borderId="13" xfId="0" applyNumberFormat="1" applyFont="1" applyFill="1" applyBorder="1" applyAlignment="1" applyProtection="1">
      <alignment horizontal="center"/>
    </xf>
    <xf numFmtId="0" fontId="2" fillId="0" borderId="14" xfId="0" applyFont="1" applyFill="1" applyBorder="1" applyAlignment="1" applyProtection="1">
      <alignment horizontal="center"/>
    </xf>
    <xf numFmtId="0" fontId="10" fillId="0" borderId="34" xfId="0" applyFont="1" applyFill="1" applyBorder="1" applyProtection="1"/>
    <xf numFmtId="165" fontId="10" fillId="0" borderId="37" xfId="0" applyNumberFormat="1" applyFont="1" applyFill="1" applyBorder="1" applyAlignment="1" applyProtection="1">
      <alignment horizontal="center"/>
    </xf>
    <xf numFmtId="0" fontId="2" fillId="0" borderId="42" xfId="0" applyFont="1" applyFill="1" applyBorder="1" applyAlignment="1" applyProtection="1">
      <alignment horizontal="center"/>
    </xf>
    <xf numFmtId="0" fontId="10" fillId="0" borderId="34" xfId="0" applyFont="1" applyFill="1" applyBorder="1" applyAlignment="1" applyProtection="1">
      <alignment vertical="top"/>
    </xf>
    <xf numFmtId="165" fontId="10" fillId="0" borderId="37" xfId="0" applyNumberFormat="1" applyFont="1" applyFill="1" applyBorder="1" applyAlignment="1" applyProtection="1">
      <alignment horizontal="center" wrapText="1"/>
    </xf>
    <xf numFmtId="0" fontId="2" fillId="0" borderId="42" xfId="0" applyFont="1" applyFill="1" applyBorder="1" applyAlignment="1" applyProtection="1">
      <alignment horizontal="center" vertical="top"/>
    </xf>
    <xf numFmtId="0" fontId="10" fillId="0" borderId="17" xfId="0" applyFont="1" applyFill="1" applyBorder="1" applyAlignment="1" applyProtection="1">
      <alignment vertical="top"/>
    </xf>
    <xf numFmtId="165" fontId="10" fillId="0" borderId="18" xfId="0" applyNumberFormat="1" applyFont="1" applyFill="1" applyBorder="1" applyAlignment="1" applyProtection="1">
      <alignment horizontal="center" vertical="top" wrapText="1"/>
    </xf>
    <xf numFmtId="0" fontId="2" fillId="0" borderId="19" xfId="0" applyFont="1" applyFill="1" applyBorder="1" applyAlignment="1" applyProtection="1">
      <alignment horizontal="center" vertical="top"/>
    </xf>
    <xf numFmtId="0" fontId="0" fillId="0" borderId="0" xfId="0" applyAlignment="1" applyProtection="1"/>
    <xf numFmtId="0" fontId="3" fillId="0" borderId="0" xfId="0" applyFont="1" applyProtection="1"/>
    <xf numFmtId="0" fontId="1" fillId="2" borderId="7" xfId="0" applyFont="1" applyFill="1" applyBorder="1" applyAlignment="1" applyProtection="1">
      <alignment horizontal="center"/>
    </xf>
    <xf numFmtId="0" fontId="3" fillId="8" borderId="4" xfId="0" applyFont="1" applyFill="1" applyBorder="1" applyProtection="1"/>
    <xf numFmtId="0" fontId="3" fillId="8" borderId="5" xfId="0" applyFont="1" applyFill="1" applyBorder="1" applyAlignment="1" applyProtection="1">
      <alignment horizontal="center"/>
    </xf>
    <xf numFmtId="0" fontId="3" fillId="8" borderId="6" xfId="0" applyFont="1" applyFill="1" applyBorder="1" applyProtection="1"/>
    <xf numFmtId="0" fontId="3" fillId="8" borderId="7" xfId="0" applyFont="1" applyFill="1" applyBorder="1" applyAlignment="1" applyProtection="1">
      <alignment horizontal="center"/>
    </xf>
    <xf numFmtId="0" fontId="2" fillId="0" borderId="0" xfId="0" applyFont="1" applyProtection="1"/>
    <xf numFmtId="0" fontId="26" fillId="0" borderId="0" xfId="0" applyFont="1" applyBorder="1" applyAlignment="1" applyProtection="1">
      <alignment horizontal="center" vertical="center" wrapText="1"/>
    </xf>
    <xf numFmtId="0" fontId="3" fillId="0" borderId="20" xfId="0" applyFont="1" applyFill="1" applyBorder="1" applyAlignment="1" applyProtection="1">
      <alignment horizontal="left" vertical="top" wrapText="1"/>
    </xf>
    <xf numFmtId="0" fontId="0" fillId="0" borderId="0" xfId="0" applyFill="1" applyBorder="1" applyAlignment="1" applyProtection="1">
      <alignment horizontal="left" vertical="top" wrapText="1"/>
    </xf>
    <xf numFmtId="0" fontId="0" fillId="0" borderId="0" xfId="0" applyFill="1" applyProtection="1"/>
    <xf numFmtId="0" fontId="4" fillId="0" borderId="0" xfId="0" applyFont="1" applyFill="1" applyAlignment="1" applyProtection="1">
      <alignment horizontal="right"/>
    </xf>
    <xf numFmtId="0" fontId="3" fillId="0" borderId="0" xfId="0" applyFont="1" applyFill="1" applyBorder="1" applyAlignment="1" applyProtection="1">
      <alignment horizontal="left" vertical="top" wrapText="1"/>
    </xf>
    <xf numFmtId="0" fontId="3" fillId="0" borderId="15" xfId="0" applyFont="1" applyFill="1" applyBorder="1" applyAlignment="1" applyProtection="1">
      <alignment horizontal="left" vertical="top" wrapText="1"/>
    </xf>
    <xf numFmtId="0" fontId="0" fillId="0" borderId="15" xfId="0" applyFill="1" applyBorder="1" applyAlignment="1" applyProtection="1">
      <alignment horizontal="left" vertical="top" wrapText="1"/>
    </xf>
    <xf numFmtId="0" fontId="3" fillId="0" borderId="20" xfId="0" applyFont="1" applyBorder="1" applyProtection="1"/>
    <xf numFmtId="0" fontId="0" fillId="0" borderId="20" xfId="0" applyBorder="1" applyProtection="1"/>
    <xf numFmtId="0" fontId="0" fillId="0" borderId="0" xfId="0" applyBorder="1" applyProtection="1"/>
    <xf numFmtId="0" fontId="0" fillId="0" borderId="15" xfId="0" applyBorder="1" applyProtection="1"/>
    <xf numFmtId="0" fontId="0" fillId="0" borderId="17" xfId="0" applyBorder="1" applyProtection="1"/>
    <xf numFmtId="0" fontId="0" fillId="0" borderId="18" xfId="0" applyBorder="1" applyProtection="1"/>
    <xf numFmtId="0" fontId="0" fillId="0" borderId="19" xfId="0" applyBorder="1" applyProtection="1"/>
    <xf numFmtId="0" fontId="0" fillId="0" borderId="0" xfId="0" applyFill="1" applyBorder="1" applyProtection="1"/>
    <xf numFmtId="0" fontId="77" fillId="38" borderId="45" xfId="28" applyBorder="1" applyProtection="1"/>
    <xf numFmtId="0" fontId="35" fillId="0" borderId="28" xfId="0" applyFont="1" applyBorder="1" applyProtection="1"/>
    <xf numFmtId="0" fontId="0" fillId="2" borderId="4" xfId="0" applyFill="1" applyBorder="1" applyProtection="1"/>
    <xf numFmtId="0" fontId="35" fillId="0" borderId="5" xfId="0" applyFont="1" applyBorder="1" applyProtection="1"/>
    <xf numFmtId="0" fontId="0" fillId="0" borderId="6" xfId="0" applyFill="1" applyBorder="1" applyAlignment="1" applyProtection="1">
      <alignment vertical="center"/>
    </xf>
    <xf numFmtId="0" fontId="35" fillId="0" borderId="7" xfId="0" applyFont="1" applyBorder="1" applyAlignment="1" applyProtection="1">
      <alignment vertical="center"/>
    </xf>
    <xf numFmtId="0" fontId="3" fillId="2" borderId="4" xfId="0" applyFont="1" applyFill="1" applyBorder="1" applyAlignment="1">
      <alignment vertical="center"/>
    </xf>
    <xf numFmtId="2" fontId="12" fillId="38" borderId="46" xfId="28" applyNumberFormat="1" applyFont="1" applyBorder="1" applyAlignment="1" applyProtection="1">
      <alignment horizontal="center" vertical="center"/>
      <protection locked="0"/>
    </xf>
    <xf numFmtId="2" fontId="12" fillId="38" borderId="47" xfId="28" applyNumberFormat="1" applyFont="1" applyBorder="1" applyAlignment="1" applyProtection="1">
      <alignment horizontal="center" vertical="center"/>
      <protection locked="0"/>
    </xf>
    <xf numFmtId="170" fontId="52" fillId="0" borderId="0" xfId="0" applyNumberFormat="1" applyFont="1" applyFill="1" applyBorder="1" applyAlignment="1" applyProtection="1">
      <alignment vertical="center" wrapText="1"/>
      <protection locked="0"/>
    </xf>
    <xf numFmtId="173" fontId="38" fillId="2" borderId="9" xfId="26" applyNumberFormat="1" applyFont="1" applyFill="1" applyBorder="1" applyAlignment="1" applyProtection="1">
      <alignment horizontal="center" vertical="center"/>
    </xf>
    <xf numFmtId="0" fontId="53" fillId="0" borderId="0" xfId="0" applyFont="1" applyBorder="1" applyAlignment="1">
      <alignment horizontal="center"/>
    </xf>
    <xf numFmtId="164" fontId="53" fillId="0" borderId="0" xfId="0" applyNumberFormat="1" applyFont="1" applyBorder="1" applyAlignment="1">
      <alignment vertical="center" wrapText="1"/>
    </xf>
    <xf numFmtId="164" fontId="53" fillId="0" borderId="0" xfId="0" applyNumberFormat="1" applyFont="1" applyBorder="1"/>
    <xf numFmtId="0" fontId="2" fillId="0" borderId="0" xfId="0" applyFont="1" applyFill="1"/>
    <xf numFmtId="0" fontId="53" fillId="0" borderId="0" xfId="0" applyFont="1" applyFill="1" applyBorder="1"/>
    <xf numFmtId="0" fontId="53" fillId="0" borderId="0" xfId="0" applyFont="1" applyFill="1" applyBorder="1" applyAlignment="1">
      <alignment horizontal="center"/>
    </xf>
    <xf numFmtId="0" fontId="54" fillId="0" borderId="0" xfId="0" applyFont="1" applyFill="1" applyBorder="1" applyAlignment="1">
      <alignment horizontal="center" vertical="center" wrapText="1"/>
    </xf>
    <xf numFmtId="164" fontId="53" fillId="0" borderId="0" xfId="0" applyNumberFormat="1" applyFont="1" applyFill="1" applyBorder="1" applyAlignment="1">
      <alignment vertical="center" wrapText="1"/>
    </xf>
    <xf numFmtId="0" fontId="54" fillId="0" borderId="0" xfId="0" applyFont="1" applyFill="1" applyBorder="1" applyAlignment="1">
      <alignment horizontal="center" vertical="center"/>
    </xf>
    <xf numFmtId="2" fontId="53" fillId="0" borderId="0" xfId="26" applyNumberFormat="1" applyFont="1" applyFill="1" applyBorder="1" applyAlignment="1">
      <alignment horizontal="center" vertical="center"/>
    </xf>
    <xf numFmtId="0" fontId="53" fillId="0" borderId="0" xfId="0" applyFont="1" applyFill="1" applyBorder="1" applyAlignment="1">
      <alignment horizontal="center" vertical="center"/>
    </xf>
    <xf numFmtId="2" fontId="0" fillId="0" borderId="0" xfId="0" applyNumberFormat="1" applyFill="1"/>
    <xf numFmtId="0" fontId="0" fillId="0" borderId="0" xfId="0" applyFill="1" applyAlignment="1">
      <alignment wrapText="1"/>
    </xf>
    <xf numFmtId="2" fontId="0" fillId="0" borderId="0" xfId="0" applyNumberFormat="1" applyFill="1" applyAlignment="1">
      <alignment wrapText="1"/>
    </xf>
    <xf numFmtId="0" fontId="51" fillId="0" borderId="0" xfId="0" applyFont="1" applyFill="1" applyBorder="1" applyAlignment="1">
      <alignment horizontal="center"/>
    </xf>
    <xf numFmtId="0" fontId="51" fillId="0" borderId="0" xfId="0" applyFont="1" applyFill="1" applyBorder="1" applyAlignment="1">
      <alignment horizontal="left" vertical="center"/>
    </xf>
    <xf numFmtId="0" fontId="55" fillId="0" borderId="0" xfId="0" applyFont="1" applyFill="1" applyBorder="1"/>
    <xf numFmtId="0" fontId="56" fillId="0" borderId="0" xfId="0" applyFont="1" applyFill="1" applyBorder="1"/>
    <xf numFmtId="0" fontId="55" fillId="0" borderId="0" xfId="0" applyFont="1" applyFill="1" applyBorder="1" applyAlignment="1">
      <alignment horizontal="center"/>
    </xf>
    <xf numFmtId="11" fontId="56" fillId="0" borderId="0" xfId="0" applyNumberFormat="1" applyFont="1" applyFill="1" applyBorder="1" applyAlignment="1">
      <alignment horizontal="center"/>
    </xf>
    <xf numFmtId="0" fontId="56" fillId="0" borderId="0" xfId="0" applyFont="1" applyFill="1" applyBorder="1" applyAlignment="1">
      <alignment horizontal="center"/>
    </xf>
    <xf numFmtId="0" fontId="57" fillId="0" borderId="0" xfId="0" applyFont="1" applyFill="1" applyBorder="1" applyAlignment="1">
      <alignment horizontal="center" vertical="center" wrapText="1"/>
    </xf>
    <xf numFmtId="164" fontId="56" fillId="0" borderId="0" xfId="0" applyNumberFormat="1" applyFont="1" applyFill="1" applyBorder="1" applyAlignment="1">
      <alignment horizontal="center" vertical="center" wrapText="1"/>
    </xf>
    <xf numFmtId="0" fontId="57" fillId="0" borderId="0" xfId="0" applyFont="1" applyFill="1" applyBorder="1" applyAlignment="1">
      <alignment horizontal="center" vertical="center"/>
    </xf>
    <xf numFmtId="2" fontId="56" fillId="0" borderId="0" xfId="26" applyNumberFormat="1" applyFont="1" applyFill="1" applyBorder="1" applyAlignment="1">
      <alignment horizontal="center" vertical="center"/>
    </xf>
    <xf numFmtId="164" fontId="56" fillId="0" borderId="0" xfId="0" applyNumberFormat="1" applyFont="1" applyFill="1" applyBorder="1"/>
    <xf numFmtId="0" fontId="56" fillId="0" borderId="0" xfId="0" applyFont="1" applyFill="1" applyBorder="1" applyAlignment="1">
      <alignment horizontal="center" vertical="center"/>
    </xf>
    <xf numFmtId="0" fontId="55" fillId="0" borderId="0" xfId="0" applyFont="1" applyFill="1" applyBorder="1" applyAlignment="1">
      <alignment wrapText="1"/>
    </xf>
    <xf numFmtId="164" fontId="55" fillId="0" borderId="0" xfId="0" applyNumberFormat="1" applyFont="1" applyFill="1" applyBorder="1"/>
    <xf numFmtId="2" fontId="55" fillId="0" borderId="0" xfId="0" applyNumberFormat="1" applyFont="1" applyFill="1" applyBorder="1"/>
    <xf numFmtId="164" fontId="56" fillId="0" borderId="0" xfId="0" applyNumberFormat="1" applyFont="1" applyFill="1" applyBorder="1" applyAlignment="1">
      <alignment vertical="center" wrapText="1"/>
    </xf>
    <xf numFmtId="1" fontId="45" fillId="2" borderId="3" xfId="0" applyNumberFormat="1" applyFont="1" applyFill="1" applyBorder="1" applyAlignment="1">
      <alignment horizontal="center"/>
    </xf>
    <xf numFmtId="1" fontId="46" fillId="2" borderId="39" xfId="0" applyNumberFormat="1" applyFont="1" applyFill="1" applyBorder="1" applyAlignment="1">
      <alignment horizontal="center" vertical="center"/>
    </xf>
    <xf numFmtId="1" fontId="46" fillId="2" borderId="27" xfId="0" applyNumberFormat="1" applyFont="1" applyFill="1" applyBorder="1" applyAlignment="1">
      <alignment horizontal="center" vertical="center"/>
    </xf>
    <xf numFmtId="0" fontId="0" fillId="0" borderId="13" xfId="0" applyFill="1" applyBorder="1" applyAlignment="1" applyProtection="1"/>
    <xf numFmtId="0" fontId="2" fillId="2" borderId="48" xfId="0" applyFont="1" applyFill="1" applyBorder="1" applyAlignment="1">
      <alignment vertical="center"/>
    </xf>
    <xf numFmtId="2" fontId="2" fillId="38" borderId="115" xfId="28" applyNumberFormat="1" applyFont="1" applyAlignment="1" applyProtection="1">
      <alignment horizontal="center" vertical="top"/>
      <protection locked="0"/>
    </xf>
    <xf numFmtId="0" fontId="1" fillId="2" borderId="49" xfId="0" applyFont="1" applyFill="1" applyBorder="1" applyAlignment="1" applyProtection="1">
      <alignment vertical="center"/>
    </xf>
    <xf numFmtId="0" fontId="1" fillId="2" borderId="50" xfId="0" applyFont="1" applyFill="1" applyBorder="1" applyAlignment="1" applyProtection="1">
      <alignment vertical="center"/>
    </xf>
    <xf numFmtId="0" fontId="1" fillId="2" borderId="51" xfId="0" applyFont="1" applyFill="1" applyBorder="1" applyAlignment="1" applyProtection="1">
      <alignment horizontal="center" vertical="center"/>
    </xf>
    <xf numFmtId="0" fontId="3" fillId="5" borderId="4" xfId="0" applyFont="1" applyFill="1" applyBorder="1" applyProtection="1"/>
    <xf numFmtId="0" fontId="3" fillId="38" borderId="47" xfId="28" applyFont="1" applyBorder="1" applyAlignment="1" applyProtection="1">
      <alignment horizontal="center"/>
      <protection locked="0"/>
    </xf>
    <xf numFmtId="11" fontId="2" fillId="0" borderId="0" xfId="0" applyNumberFormat="1" applyFont="1" applyFill="1" applyBorder="1"/>
    <xf numFmtId="172" fontId="59" fillId="0" borderId="0" xfId="0" applyNumberFormat="1" applyFont="1" applyAlignment="1">
      <alignment wrapText="1"/>
    </xf>
    <xf numFmtId="0" fontId="5" fillId="2" borderId="48" xfId="0" applyFont="1" applyFill="1" applyBorder="1" applyAlignment="1" applyProtection="1">
      <alignment vertical="center"/>
    </xf>
    <xf numFmtId="0" fontId="5" fillId="2" borderId="40" xfId="0" applyFont="1" applyFill="1" applyBorder="1" applyAlignment="1" applyProtection="1">
      <alignment vertical="center"/>
    </xf>
    <xf numFmtId="0" fontId="59" fillId="0" borderId="0" xfId="0" applyFont="1"/>
    <xf numFmtId="0" fontId="59" fillId="0" borderId="0" xfId="0" applyFont="1" applyFill="1" applyBorder="1"/>
    <xf numFmtId="0" fontId="60" fillId="0" borderId="0" xfId="0" applyFont="1"/>
    <xf numFmtId="0" fontId="60" fillId="0" borderId="0" xfId="0" applyFont="1" applyFill="1" applyBorder="1"/>
    <xf numFmtId="11" fontId="60" fillId="0" borderId="0" xfId="0" applyNumberFormat="1" applyFont="1" applyFill="1" applyBorder="1" applyAlignment="1">
      <alignment horizontal="center"/>
    </xf>
    <xf numFmtId="0" fontId="60" fillId="0" borderId="0" xfId="0" applyFont="1" applyFill="1" applyBorder="1" applyAlignment="1">
      <alignment horizontal="center"/>
    </xf>
    <xf numFmtId="0" fontId="60" fillId="0" borderId="0" xfId="0" applyFont="1" applyAlignment="1">
      <alignment horizontal="center" vertical="center" wrapText="1"/>
    </xf>
    <xf numFmtId="0" fontId="61" fillId="0" borderId="0" xfId="0" applyFont="1" applyFill="1" applyBorder="1" applyAlignment="1">
      <alignment horizontal="center" vertical="center" wrapText="1"/>
    </xf>
    <xf numFmtId="164" fontId="60" fillId="0" borderId="0" xfId="0" applyNumberFormat="1" applyFont="1" applyFill="1" applyBorder="1" applyAlignment="1">
      <alignment horizontal="center" vertical="center" wrapText="1"/>
    </xf>
    <xf numFmtId="0" fontId="60" fillId="0" borderId="0" xfId="0" applyFont="1" applyFill="1" applyBorder="1" applyAlignment="1">
      <alignment horizontal="center" vertical="center" wrapText="1"/>
    </xf>
    <xf numFmtId="0" fontId="60" fillId="0" borderId="0" xfId="0" applyFont="1" applyAlignment="1">
      <alignment horizontal="center"/>
    </xf>
    <xf numFmtId="0" fontId="61" fillId="0" borderId="0" xfId="0" applyFont="1" applyFill="1" applyBorder="1" applyAlignment="1">
      <alignment horizontal="center" vertical="center"/>
    </xf>
    <xf numFmtId="2" fontId="60" fillId="0" borderId="0" xfId="26" applyNumberFormat="1" applyFont="1" applyFill="1" applyBorder="1" applyAlignment="1">
      <alignment horizontal="center" vertical="center"/>
    </xf>
    <xf numFmtId="164" fontId="60" fillId="0" borderId="0" xfId="0" applyNumberFormat="1" applyFont="1" applyFill="1" applyBorder="1"/>
    <xf numFmtId="0" fontId="60" fillId="0" borderId="0" xfId="0" applyFont="1" applyFill="1" applyBorder="1" applyAlignment="1">
      <alignment horizontal="center" vertical="center"/>
    </xf>
    <xf numFmtId="0" fontId="3" fillId="5" borderId="2" xfId="0" applyFont="1" applyFill="1" applyBorder="1" applyProtection="1"/>
    <xf numFmtId="165" fontId="3" fillId="2" borderId="9" xfId="0" applyNumberFormat="1" applyFont="1" applyFill="1" applyBorder="1" applyProtection="1"/>
    <xf numFmtId="0" fontId="3" fillId="9" borderId="5" xfId="0" applyFont="1" applyFill="1" applyBorder="1" applyProtection="1"/>
    <xf numFmtId="165" fontId="3" fillId="2" borderId="26" xfId="0" applyNumberFormat="1" applyFont="1" applyFill="1" applyBorder="1" applyProtection="1"/>
    <xf numFmtId="165" fontId="3" fillId="2" borderId="52" xfId="0" applyNumberFormat="1" applyFont="1" applyFill="1" applyBorder="1" applyProtection="1"/>
    <xf numFmtId="0" fontId="3" fillId="5" borderId="35" xfId="0" applyFont="1" applyFill="1" applyBorder="1" applyProtection="1"/>
    <xf numFmtId="0" fontId="3" fillId="9" borderId="35" xfId="0" applyFont="1" applyFill="1" applyBorder="1" applyProtection="1"/>
    <xf numFmtId="0" fontId="1" fillId="0" borderId="0" xfId="0" applyFont="1" applyProtection="1"/>
    <xf numFmtId="0" fontId="2" fillId="2" borderId="48" xfId="0" applyFont="1" applyFill="1" applyBorder="1" applyAlignment="1" applyProtection="1">
      <alignment vertical="center"/>
      <protection locked="0"/>
    </xf>
    <xf numFmtId="0" fontId="59" fillId="0" borderId="0" xfId="0" applyFont="1" applyFill="1" applyBorder="1" applyAlignment="1">
      <alignment horizontal="center"/>
    </xf>
    <xf numFmtId="180" fontId="38" fillId="2" borderId="0" xfId="26" applyNumberFormat="1" applyFont="1" applyFill="1" applyBorder="1" applyAlignment="1" applyProtection="1">
      <alignment horizontal="center" vertical="center"/>
    </xf>
    <xf numFmtId="180" fontId="38" fillId="2" borderId="15" xfId="26" applyNumberFormat="1" applyFont="1" applyFill="1" applyBorder="1" applyAlignment="1" applyProtection="1">
      <alignment horizontal="center" vertical="center"/>
    </xf>
    <xf numFmtId="180" fontId="38" fillId="2" borderId="43" xfId="26" applyNumberFormat="1" applyFont="1" applyFill="1" applyBorder="1" applyAlignment="1" applyProtection="1">
      <alignment vertical="center"/>
    </xf>
    <xf numFmtId="180" fontId="38" fillId="2" borderId="44" xfId="26" applyNumberFormat="1" applyFont="1" applyFill="1" applyBorder="1" applyAlignment="1" applyProtection="1">
      <alignment vertical="center"/>
    </xf>
    <xf numFmtId="165" fontId="3" fillId="2" borderId="42" xfId="0" applyNumberFormat="1" applyFont="1" applyFill="1" applyBorder="1" applyProtection="1"/>
    <xf numFmtId="0" fontId="3" fillId="9" borderId="53" xfId="0" applyFont="1" applyFill="1" applyBorder="1" applyProtection="1"/>
    <xf numFmtId="0" fontId="3" fillId="9" borderId="28" xfId="0" applyFont="1" applyFill="1" applyBorder="1" applyProtection="1"/>
    <xf numFmtId="0" fontId="3" fillId="9" borderId="25" xfId="0" applyFont="1" applyFill="1" applyBorder="1" applyProtection="1"/>
    <xf numFmtId="0" fontId="3" fillId="5" borderId="30" xfId="0" applyFont="1" applyFill="1" applyBorder="1" applyProtection="1"/>
    <xf numFmtId="0" fontId="3" fillId="9" borderId="32" xfId="0" applyFont="1" applyFill="1" applyBorder="1" applyProtection="1"/>
    <xf numFmtId="0" fontId="3" fillId="0" borderId="18" xfId="0" applyFont="1" applyFill="1" applyBorder="1" applyProtection="1"/>
    <xf numFmtId="165" fontId="3" fillId="0" borderId="18" xfId="0" applyNumberFormat="1" applyFont="1" applyFill="1" applyBorder="1" applyProtection="1"/>
    <xf numFmtId="165" fontId="3" fillId="2" borderId="54" xfId="0" applyNumberFormat="1" applyFont="1" applyFill="1" applyBorder="1" applyProtection="1"/>
    <xf numFmtId="0" fontId="3" fillId="38" borderId="5" xfId="28" applyFont="1" applyBorder="1" applyAlignment="1" applyProtection="1">
      <alignment horizontal="right"/>
      <protection locked="0"/>
    </xf>
    <xf numFmtId="0" fontId="3" fillId="38" borderId="7" xfId="28" applyFont="1" applyBorder="1" applyAlignment="1" applyProtection="1">
      <alignment horizontal="right"/>
      <protection locked="0"/>
    </xf>
    <xf numFmtId="0" fontId="3" fillId="38" borderId="4" xfId="28" applyFont="1" applyBorder="1" applyAlignment="1" applyProtection="1">
      <alignment horizontal="left"/>
      <protection locked="0"/>
    </xf>
    <xf numFmtId="0" fontId="3" fillId="38" borderId="6" xfId="28" applyFont="1" applyBorder="1" applyAlignment="1" applyProtection="1">
      <alignment horizontal="left"/>
      <protection locked="0"/>
    </xf>
    <xf numFmtId="0" fontId="50" fillId="0" borderId="0" xfId="0" applyFont="1" applyFill="1" applyBorder="1" applyProtection="1">
      <protection hidden="1"/>
    </xf>
    <xf numFmtId="0" fontId="50" fillId="0" borderId="0" xfId="0" applyFont="1" applyFill="1" applyBorder="1" applyAlignment="1" applyProtection="1">
      <alignment horizontal="center"/>
      <protection hidden="1"/>
    </xf>
    <xf numFmtId="0" fontId="50" fillId="0" borderId="14" xfId="0" applyFont="1" applyFill="1" applyBorder="1" applyProtection="1">
      <protection hidden="1"/>
    </xf>
    <xf numFmtId="0" fontId="3" fillId="0" borderId="15" xfId="0" applyFont="1" applyFill="1" applyBorder="1" applyProtection="1">
      <protection hidden="1"/>
    </xf>
    <xf numFmtId="0" fontId="1" fillId="0" borderId="15" xfId="0" applyFont="1" applyFill="1" applyBorder="1" applyAlignment="1" applyProtection="1">
      <alignment horizontal="right"/>
      <protection hidden="1"/>
    </xf>
    <xf numFmtId="0" fontId="26" fillId="0" borderId="21" xfId="0" applyFont="1" applyFill="1" applyBorder="1" applyAlignment="1" applyProtection="1">
      <protection locked="0" hidden="1"/>
    </xf>
    <xf numFmtId="0" fontId="50" fillId="0" borderId="3" xfId="0" applyFont="1" applyFill="1" applyBorder="1" applyAlignment="1" applyProtection="1">
      <alignment horizontal="center"/>
    </xf>
    <xf numFmtId="0" fontId="4" fillId="0" borderId="55" xfId="0" applyFont="1" applyFill="1" applyBorder="1" applyAlignment="1" applyProtection="1">
      <alignment horizontal="center"/>
      <protection hidden="1"/>
    </xf>
    <xf numFmtId="0" fontId="50" fillId="0" borderId="5" xfId="0" applyFont="1" applyFill="1" applyBorder="1" applyAlignment="1" applyProtection="1">
      <alignment horizontal="center"/>
    </xf>
    <xf numFmtId="0" fontId="4" fillId="0" borderId="39" xfId="0" applyFont="1" applyFill="1" applyBorder="1" applyAlignment="1" applyProtection="1">
      <alignment horizontal="center"/>
      <protection hidden="1"/>
    </xf>
    <xf numFmtId="0" fontId="50" fillId="0" borderId="7" xfId="0" applyFont="1" applyFill="1" applyBorder="1" applyAlignment="1" applyProtection="1">
      <alignment horizontal="center"/>
    </xf>
    <xf numFmtId="0" fontId="4" fillId="0" borderId="27" xfId="0" applyFont="1" applyFill="1" applyBorder="1" applyAlignment="1" applyProtection="1">
      <alignment horizontal="center"/>
      <protection hidden="1"/>
    </xf>
    <xf numFmtId="1" fontId="50" fillId="0" borderId="0" xfId="0" applyNumberFormat="1" applyFont="1" applyFill="1" applyBorder="1" applyAlignment="1" applyProtection="1">
      <alignment horizontal="center"/>
      <protection hidden="1"/>
    </xf>
    <xf numFmtId="0" fontId="64" fillId="0" borderId="0" xfId="0" applyFont="1" applyFill="1" applyBorder="1" applyAlignment="1" applyProtection="1">
      <alignment horizontal="center"/>
      <protection hidden="1"/>
    </xf>
    <xf numFmtId="0" fontId="64" fillId="0" borderId="56" xfId="0" applyFont="1" applyFill="1" applyBorder="1" applyAlignment="1" applyProtection="1">
      <alignment horizontal="center"/>
      <protection hidden="1"/>
    </xf>
    <xf numFmtId="0" fontId="64" fillId="0" borderId="43" xfId="0" applyFont="1" applyFill="1" applyBorder="1" applyAlignment="1" applyProtection="1">
      <alignment horizontal="center"/>
      <protection hidden="1"/>
    </xf>
    <xf numFmtId="0" fontId="64" fillId="0" borderId="57" xfId="0" applyFont="1" applyFill="1" applyBorder="1" applyAlignment="1" applyProtection="1">
      <alignment horizontal="center"/>
      <protection hidden="1"/>
    </xf>
    <xf numFmtId="0" fontId="64" fillId="0" borderId="58" xfId="0" applyFont="1" applyFill="1" applyBorder="1" applyAlignment="1" applyProtection="1">
      <alignment horizontal="center"/>
      <protection hidden="1"/>
    </xf>
    <xf numFmtId="0" fontId="64" fillId="0" borderId="59" xfId="0" applyFont="1" applyFill="1" applyBorder="1" applyAlignment="1" applyProtection="1">
      <alignment horizontal="center"/>
      <protection hidden="1"/>
    </xf>
    <xf numFmtId="0" fontId="50" fillId="0" borderId="60" xfId="0" applyFont="1" applyFill="1" applyBorder="1" applyProtection="1">
      <protection hidden="1"/>
    </xf>
    <xf numFmtId="0" fontId="64" fillId="0" borderId="61" xfId="0" applyFont="1" applyFill="1" applyBorder="1" applyAlignment="1" applyProtection="1">
      <alignment horizontal="center"/>
      <protection hidden="1"/>
    </xf>
    <xf numFmtId="0" fontId="64" fillId="0" borderId="62" xfId="0" applyFont="1" applyFill="1" applyBorder="1" applyAlignment="1" applyProtection="1">
      <alignment horizontal="center"/>
      <protection hidden="1"/>
    </xf>
    <xf numFmtId="2" fontId="50" fillId="0" borderId="0" xfId="0" applyNumberFormat="1" applyFont="1" applyFill="1" applyBorder="1" applyProtection="1">
      <protection hidden="1"/>
    </xf>
    <xf numFmtId="0" fontId="50" fillId="0" borderId="18" xfId="0" applyFont="1" applyFill="1" applyBorder="1" applyProtection="1">
      <protection hidden="1"/>
    </xf>
    <xf numFmtId="0" fontId="50" fillId="0" borderId="18" xfId="0" applyFont="1" applyFill="1" applyBorder="1" applyAlignment="1" applyProtection="1">
      <alignment horizontal="center"/>
      <protection hidden="1"/>
    </xf>
    <xf numFmtId="0" fontId="2" fillId="2" borderId="63" xfId="0" applyFont="1" applyFill="1" applyBorder="1" applyAlignment="1" applyProtection="1">
      <alignment vertical="top"/>
      <protection locked="0"/>
    </xf>
    <xf numFmtId="0" fontId="41" fillId="2" borderId="64" xfId="26" applyFont="1" applyFill="1" applyBorder="1" applyAlignment="1" applyProtection="1">
      <alignment horizontal="center" vertical="top" wrapText="1"/>
    </xf>
    <xf numFmtId="165" fontId="4" fillId="2" borderId="5" xfId="28" applyNumberFormat="1" applyFont="1" applyFill="1" applyBorder="1" applyAlignment="1" applyProtection="1">
      <alignment horizontal="center" vertical="top"/>
    </xf>
    <xf numFmtId="165" fontId="4" fillId="2" borderId="7" xfId="28" applyNumberFormat="1" applyFont="1" applyFill="1" applyBorder="1" applyAlignment="1" applyProtection="1">
      <alignment horizontal="center" vertical="top"/>
    </xf>
    <xf numFmtId="0" fontId="5" fillId="0" borderId="0" xfId="0" applyFont="1" applyBorder="1" applyAlignment="1">
      <alignment horizontal="left" vertical="top" wrapText="1"/>
    </xf>
    <xf numFmtId="0" fontId="50" fillId="0" borderId="63" xfId="0" applyFont="1" applyFill="1" applyBorder="1" applyAlignment="1" applyProtection="1">
      <alignment horizontal="left"/>
      <protection hidden="1"/>
    </xf>
    <xf numFmtId="0" fontId="50" fillId="0" borderId="65" xfId="0" applyFont="1" applyFill="1" applyBorder="1" applyProtection="1">
      <protection hidden="1"/>
    </xf>
    <xf numFmtId="0" fontId="50" fillId="0" borderId="65" xfId="0" applyFont="1" applyFill="1" applyBorder="1" applyAlignment="1" applyProtection="1">
      <alignment horizontal="center"/>
      <protection hidden="1"/>
    </xf>
    <xf numFmtId="0" fontId="50" fillId="0" borderId="37" xfId="0" quotePrefix="1" applyFont="1" applyFill="1" applyBorder="1" applyAlignment="1" applyProtection="1">
      <alignment horizontal="left"/>
      <protection hidden="1"/>
    </xf>
    <xf numFmtId="0" fontId="50" fillId="0" borderId="66" xfId="0" applyFont="1" applyFill="1" applyBorder="1" applyAlignment="1" applyProtection="1">
      <alignment horizontal="left"/>
      <protection hidden="1"/>
    </xf>
    <xf numFmtId="0" fontId="50" fillId="0" borderId="61" xfId="0" applyFont="1" applyFill="1" applyBorder="1" applyProtection="1">
      <protection hidden="1"/>
    </xf>
    <xf numFmtId="0" fontId="50" fillId="0" borderId="38" xfId="0" applyFont="1" applyFill="1" applyBorder="1" applyAlignment="1" applyProtection="1">
      <alignment horizontal="right"/>
      <protection hidden="1"/>
    </xf>
    <xf numFmtId="0" fontId="50" fillId="0" borderId="17" xfId="0" quotePrefix="1" applyFont="1" applyFill="1" applyBorder="1" applyAlignment="1" applyProtection="1">
      <alignment horizontal="left"/>
      <protection hidden="1"/>
    </xf>
    <xf numFmtId="0" fontId="50" fillId="0" borderId="67" xfId="0" quotePrefix="1" applyFont="1" applyFill="1" applyBorder="1" applyAlignment="1" applyProtection="1">
      <alignment horizontal="right"/>
      <protection hidden="1"/>
    </xf>
    <xf numFmtId="0" fontId="65" fillId="10" borderId="48" xfId="0" quotePrefix="1" applyFont="1" applyFill="1" applyBorder="1" applyAlignment="1" applyProtection="1">
      <protection hidden="1"/>
    </xf>
    <xf numFmtId="0" fontId="65" fillId="10" borderId="40" xfId="0" quotePrefix="1" applyFont="1" applyFill="1" applyBorder="1" applyAlignment="1" applyProtection="1">
      <protection hidden="1"/>
    </xf>
    <xf numFmtId="0" fontId="65" fillId="10" borderId="41" xfId="0" quotePrefix="1" applyFont="1" applyFill="1" applyBorder="1" applyAlignment="1" applyProtection="1">
      <protection hidden="1"/>
    </xf>
    <xf numFmtId="0" fontId="4" fillId="0" borderId="34" xfId="0" quotePrefix="1" applyFont="1" applyFill="1" applyBorder="1" applyAlignment="1" applyProtection="1">
      <protection hidden="1"/>
    </xf>
    <xf numFmtId="0" fontId="4" fillId="0" borderId="37" xfId="0" quotePrefix="1" applyFont="1" applyFill="1" applyBorder="1" applyAlignment="1" applyProtection="1">
      <protection hidden="1"/>
    </xf>
    <xf numFmtId="0" fontId="4" fillId="0" borderId="43" xfId="0" quotePrefix="1" applyFont="1" applyFill="1" applyBorder="1" applyAlignment="1" applyProtection="1">
      <protection hidden="1"/>
    </xf>
    <xf numFmtId="0" fontId="4" fillId="0" borderId="44" xfId="0" quotePrefix="1" applyFont="1" applyFill="1" applyBorder="1" applyAlignment="1" applyProtection="1">
      <protection hidden="1"/>
    </xf>
    <xf numFmtId="0" fontId="2" fillId="0" borderId="5" xfId="0" applyNumberFormat="1" applyFont="1" applyFill="1" applyBorder="1" applyAlignment="1" applyProtection="1">
      <alignment horizontal="left"/>
      <protection hidden="1"/>
    </xf>
    <xf numFmtId="194" fontId="2" fillId="0" borderId="5" xfId="0" applyNumberFormat="1" applyFont="1" applyFill="1" applyBorder="1" applyAlignment="1" applyProtection="1">
      <alignment horizontal="left"/>
      <protection hidden="1"/>
    </xf>
    <xf numFmtId="0" fontId="70" fillId="0" borderId="0" xfId="0" quotePrefix="1" applyFont="1" applyFill="1" applyBorder="1" applyAlignment="1" applyProtection="1">
      <alignment horizontal="right"/>
      <protection hidden="1"/>
    </xf>
    <xf numFmtId="0" fontId="65" fillId="0" borderId="0" xfId="0" quotePrefix="1" applyFont="1" applyFill="1" applyBorder="1" applyAlignment="1" applyProtection="1">
      <alignment horizontal="right"/>
      <protection hidden="1"/>
    </xf>
    <xf numFmtId="0" fontId="0" fillId="0" borderId="0" xfId="0" applyBorder="1" applyProtection="1">
      <protection hidden="1"/>
    </xf>
    <xf numFmtId="172" fontId="4" fillId="0" borderId="68" xfId="28" applyNumberFormat="1" applyFont="1" applyFill="1" applyBorder="1" applyAlignment="1" applyProtection="1">
      <alignment horizontal="center" vertical="center"/>
    </xf>
    <xf numFmtId="166" fontId="4" fillId="0" borderId="69" xfId="28" applyNumberFormat="1" applyFont="1" applyFill="1" applyBorder="1" applyAlignment="1" applyProtection="1">
      <alignment horizontal="center" vertical="center"/>
    </xf>
    <xf numFmtId="172" fontId="4" fillId="0" borderId="70" xfId="28" applyNumberFormat="1" applyFont="1" applyFill="1" applyBorder="1" applyAlignment="1" applyProtection="1">
      <alignment horizontal="center" vertical="center"/>
    </xf>
    <xf numFmtId="198" fontId="4" fillId="0" borderId="71" xfId="28" applyNumberFormat="1" applyFont="1" applyFill="1" applyBorder="1" applyAlignment="1" applyProtection="1">
      <alignment horizontal="center" vertical="center"/>
    </xf>
    <xf numFmtId="0" fontId="64" fillId="0" borderId="13" xfId="0" applyFont="1" applyFill="1" applyBorder="1" applyAlignment="1" applyProtection="1">
      <alignment vertical="center" wrapText="1"/>
      <protection hidden="1"/>
    </xf>
    <xf numFmtId="0" fontId="64" fillId="0" borderId="0" xfId="0" applyFont="1" applyFill="1" applyBorder="1" applyAlignment="1" applyProtection="1">
      <alignment vertical="center" wrapText="1"/>
      <protection hidden="1"/>
    </xf>
    <xf numFmtId="0" fontId="50" fillId="0" borderId="37" xfId="0" quotePrefix="1" applyFont="1" applyFill="1" applyBorder="1" applyAlignment="1" applyProtection="1">
      <alignment horizontal="right"/>
      <protection hidden="1"/>
    </xf>
    <xf numFmtId="0" fontId="50" fillId="0" borderId="37" xfId="0" applyFont="1" applyFill="1" applyBorder="1" applyAlignment="1" applyProtection="1">
      <alignment horizontal="right"/>
      <protection hidden="1"/>
    </xf>
    <xf numFmtId="0" fontId="50" fillId="0" borderId="65" xfId="0" applyFont="1" applyFill="1" applyBorder="1" applyAlignment="1" applyProtection="1">
      <alignment horizontal="right" vertical="center"/>
      <protection hidden="1"/>
    </xf>
    <xf numFmtId="165" fontId="4" fillId="2" borderId="25" xfId="28" applyNumberFormat="1" applyFont="1" applyFill="1" applyBorder="1" applyAlignment="1" applyProtection="1">
      <alignment horizontal="center" vertical="top"/>
    </xf>
    <xf numFmtId="189" fontId="4" fillId="0" borderId="70" xfId="28" applyNumberFormat="1" applyFont="1" applyFill="1" applyBorder="1" applyAlignment="1" applyProtection="1">
      <alignment horizontal="center" vertical="center"/>
    </xf>
    <xf numFmtId="165" fontId="5" fillId="45" borderId="70" xfId="28" applyNumberFormat="1" applyFont="1" applyFill="1" applyBorder="1" applyAlignment="1" applyProtection="1">
      <alignment horizontal="center" vertical="center"/>
    </xf>
    <xf numFmtId="172" fontId="5" fillId="45" borderId="70" xfId="28" applyNumberFormat="1" applyFont="1" applyFill="1" applyBorder="1" applyAlignment="1" applyProtection="1">
      <alignment horizontal="center" vertical="center"/>
    </xf>
    <xf numFmtId="198" fontId="5" fillId="45" borderId="68" xfId="28" applyNumberFormat="1" applyFont="1" applyFill="1" applyBorder="1" applyAlignment="1" applyProtection="1">
      <alignment horizontal="center" vertical="center"/>
    </xf>
    <xf numFmtId="2" fontId="5" fillId="45" borderId="70" xfId="28" applyNumberFormat="1" applyFont="1" applyFill="1" applyBorder="1" applyAlignment="1" applyProtection="1">
      <alignment horizontal="center" vertical="center"/>
    </xf>
    <xf numFmtId="0" fontId="65" fillId="45" borderId="72" xfId="0" applyFont="1" applyFill="1" applyBorder="1" applyAlignment="1" applyProtection="1">
      <alignment horizontal="center" wrapText="1"/>
      <protection hidden="1"/>
    </xf>
    <xf numFmtId="177" fontId="0" fillId="0" borderId="0" xfId="0" applyNumberFormat="1"/>
    <xf numFmtId="0" fontId="77" fillId="38" borderId="115" xfId="28"/>
    <xf numFmtId="0" fontId="50" fillId="0" borderId="5" xfId="0" quotePrefix="1" applyFont="1" applyFill="1" applyBorder="1" applyAlignment="1" applyProtection="1">
      <alignment horizontal="left"/>
      <protection hidden="1"/>
    </xf>
    <xf numFmtId="181" fontId="0" fillId="0" borderId="0" xfId="0" applyNumberFormat="1"/>
    <xf numFmtId="0" fontId="2" fillId="0" borderId="5" xfId="0" applyNumberFormat="1" applyFont="1" applyFill="1" applyBorder="1" applyAlignment="1" applyProtection="1">
      <alignment horizontal="center"/>
      <protection hidden="1"/>
    </xf>
    <xf numFmtId="2" fontId="0" fillId="0" borderId="0" xfId="0" applyNumberFormat="1"/>
    <xf numFmtId="170" fontId="91" fillId="0" borderId="0" xfId="0" applyNumberFormat="1" applyFont="1" applyFill="1" applyBorder="1" applyAlignment="1" applyProtection="1">
      <alignment vertical="center" wrapText="1"/>
    </xf>
    <xf numFmtId="0" fontId="65" fillId="10" borderId="66" xfId="0" quotePrefix="1" applyFont="1" applyFill="1" applyBorder="1" applyAlignment="1" applyProtection="1">
      <alignment horizontal="left"/>
      <protection hidden="1"/>
    </xf>
    <xf numFmtId="0" fontId="65" fillId="10" borderId="61" xfId="0" quotePrefix="1" applyFont="1" applyFill="1" applyBorder="1" applyAlignment="1" applyProtection="1">
      <alignment horizontal="left"/>
      <protection hidden="1"/>
    </xf>
    <xf numFmtId="0" fontId="65" fillId="10" borderId="73" xfId="0" applyFont="1" applyFill="1" applyBorder="1" applyAlignment="1" applyProtection="1">
      <alignment horizontal="center"/>
      <protection hidden="1"/>
    </xf>
    <xf numFmtId="196" fontId="65" fillId="0" borderId="0" xfId="0" applyNumberFormat="1" applyFont="1" applyFill="1" applyBorder="1" applyAlignment="1" applyProtection="1">
      <protection hidden="1"/>
    </xf>
    <xf numFmtId="196" fontId="65" fillId="0" borderId="9" xfId="0" applyNumberFormat="1" applyFont="1" applyFill="1" applyBorder="1" applyAlignment="1" applyProtection="1">
      <alignment horizontal="center"/>
      <protection hidden="1"/>
    </xf>
    <xf numFmtId="195" fontId="65" fillId="0" borderId="9" xfId="0" applyNumberFormat="1" applyFont="1" applyFill="1" applyBorder="1" applyAlignment="1" applyProtection="1">
      <alignment horizontal="center"/>
      <protection hidden="1"/>
    </xf>
    <xf numFmtId="0" fontId="50" fillId="0" borderId="74" xfId="0" applyFont="1" applyFill="1" applyBorder="1" applyAlignment="1" applyProtection="1">
      <alignment horizontal="right"/>
      <protection hidden="1"/>
    </xf>
    <xf numFmtId="0" fontId="65" fillId="46" borderId="40" xfId="0" quotePrefix="1" applyFont="1" applyFill="1" applyBorder="1" applyAlignment="1" applyProtection="1">
      <protection hidden="1"/>
    </xf>
    <xf numFmtId="0" fontId="65" fillId="46" borderId="41" xfId="0" quotePrefix="1" applyFont="1" applyFill="1" applyBorder="1" applyAlignment="1" applyProtection="1">
      <protection hidden="1"/>
    </xf>
    <xf numFmtId="0" fontId="65" fillId="46" borderId="48" xfId="0" quotePrefix="1" applyFont="1" applyFill="1" applyBorder="1" applyAlignment="1" applyProtection="1">
      <protection hidden="1"/>
    </xf>
    <xf numFmtId="0" fontId="65" fillId="46" borderId="66" xfId="0" quotePrefix="1" applyFont="1" applyFill="1" applyBorder="1" applyAlignment="1" applyProtection="1">
      <alignment horizontal="left"/>
      <protection hidden="1"/>
    </xf>
    <xf numFmtId="0" fontId="65" fillId="46" borderId="61" xfId="0" quotePrefix="1" applyFont="1" applyFill="1" applyBorder="1" applyAlignment="1" applyProtection="1">
      <alignment horizontal="left"/>
      <protection hidden="1"/>
    </xf>
    <xf numFmtId="0" fontId="65" fillId="46" borderId="73" xfId="0" applyFont="1" applyFill="1" applyBorder="1" applyAlignment="1" applyProtection="1">
      <alignment horizontal="center"/>
      <protection hidden="1"/>
    </xf>
    <xf numFmtId="0" fontId="67" fillId="46" borderId="17" xfId="0" applyFont="1" applyFill="1" applyBorder="1" applyProtection="1">
      <protection hidden="1"/>
    </xf>
    <xf numFmtId="0" fontId="69" fillId="46" borderId="18" xfId="0" applyFont="1" applyFill="1" applyBorder="1" applyProtection="1">
      <protection hidden="1"/>
    </xf>
    <xf numFmtId="0" fontId="69" fillId="46" borderId="18" xfId="0" quotePrefix="1" applyFont="1" applyFill="1" applyBorder="1" applyAlignment="1" applyProtection="1">
      <alignment horizontal="left"/>
      <protection hidden="1"/>
    </xf>
    <xf numFmtId="0" fontId="67" fillId="46" borderId="18" xfId="0" quotePrefix="1" applyFont="1" applyFill="1" applyBorder="1" applyAlignment="1" applyProtection="1">
      <alignment horizontal="left"/>
      <protection hidden="1"/>
    </xf>
    <xf numFmtId="188" fontId="67" fillId="46" borderId="18" xfId="0" applyNumberFormat="1" applyFont="1" applyFill="1" applyBorder="1" applyAlignment="1" applyProtection="1">
      <alignment horizontal="center"/>
      <protection hidden="1"/>
    </xf>
    <xf numFmtId="0" fontId="67" fillId="46" borderId="18" xfId="0" applyFont="1" applyFill="1" applyBorder="1" applyAlignment="1" applyProtection="1">
      <alignment horizontal="right"/>
      <protection hidden="1"/>
    </xf>
    <xf numFmtId="197" fontId="67" fillId="46" borderId="19" xfId="0" applyNumberFormat="1" applyFont="1" applyFill="1" applyBorder="1" applyAlignment="1" applyProtection="1">
      <alignment horizontal="right"/>
      <protection hidden="1"/>
    </xf>
    <xf numFmtId="0" fontId="26" fillId="2" borderId="12" xfId="0" applyFont="1" applyFill="1" applyBorder="1" applyAlignment="1" applyProtection="1">
      <alignment vertical="center"/>
    </xf>
    <xf numFmtId="0" fontId="26" fillId="2" borderId="13" xfId="0" applyFont="1" applyFill="1" applyBorder="1" applyAlignment="1" applyProtection="1">
      <alignment vertical="center"/>
    </xf>
    <xf numFmtId="0" fontId="26" fillId="2" borderId="20" xfId="0" applyFont="1" applyFill="1" applyBorder="1" applyAlignment="1" applyProtection="1">
      <alignment vertical="center"/>
    </xf>
    <xf numFmtId="0" fontId="26" fillId="2" borderId="0" xfId="0" applyFont="1" applyFill="1" applyBorder="1" applyAlignment="1" applyProtection="1">
      <alignment vertical="center"/>
    </xf>
    <xf numFmtId="0" fontId="26" fillId="0" borderId="0"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2" fillId="2" borderId="48" xfId="0" applyFont="1" applyFill="1" applyBorder="1" applyAlignment="1" applyProtection="1">
      <alignment vertical="center"/>
    </xf>
    <xf numFmtId="0" fontId="2" fillId="2" borderId="34" xfId="0" applyFont="1" applyFill="1" applyBorder="1" applyAlignment="1" applyProtection="1">
      <alignment vertical="top"/>
    </xf>
    <xf numFmtId="0" fontId="2" fillId="2" borderId="63" xfId="0" applyFont="1" applyFill="1" applyBorder="1" applyAlignment="1" applyProtection="1">
      <alignment vertical="top"/>
    </xf>
    <xf numFmtId="0" fontId="0" fillId="2" borderId="35" xfId="0" applyFill="1" applyBorder="1" applyAlignment="1" applyProtection="1"/>
    <xf numFmtId="188" fontId="67" fillId="47" borderId="22" xfId="0" applyNumberFormat="1" applyFont="1" applyFill="1" applyBorder="1" applyAlignment="1" applyProtection="1">
      <alignment horizontal="center"/>
      <protection hidden="1"/>
    </xf>
    <xf numFmtId="0" fontId="67" fillId="47" borderId="22" xfId="0" applyFont="1" applyFill="1" applyBorder="1" applyAlignment="1" applyProtection="1">
      <alignment horizontal="right"/>
      <protection hidden="1"/>
    </xf>
    <xf numFmtId="0" fontId="65" fillId="10" borderId="24" xfId="0" quotePrefix="1" applyFont="1" applyFill="1" applyBorder="1" applyAlignment="1" applyProtection="1">
      <alignment horizontal="left"/>
      <protection hidden="1"/>
    </xf>
    <xf numFmtId="0" fontId="65" fillId="0" borderId="0" xfId="0" quotePrefix="1" applyFont="1" applyFill="1" applyBorder="1" applyAlignment="1" applyProtection="1">
      <alignment horizontal="left"/>
      <protection hidden="1"/>
    </xf>
    <xf numFmtId="191" fontId="92" fillId="0" borderId="37" xfId="0" applyNumberFormat="1" applyFont="1" applyFill="1" applyBorder="1" applyAlignment="1" applyProtection="1">
      <protection hidden="1"/>
    </xf>
    <xf numFmtId="0" fontId="4" fillId="0" borderId="5" xfId="0" applyFont="1" applyFill="1" applyBorder="1" applyAlignment="1" applyProtection="1">
      <alignment horizontal="center"/>
      <protection hidden="1"/>
    </xf>
    <xf numFmtId="0" fontId="4" fillId="0" borderId="7" xfId="0" applyFont="1" applyFill="1" applyBorder="1" applyAlignment="1" applyProtection="1">
      <alignment horizontal="center"/>
      <protection hidden="1"/>
    </xf>
    <xf numFmtId="172" fontId="5" fillId="0" borderId="70" xfId="28" applyNumberFormat="1" applyFont="1" applyFill="1" applyBorder="1" applyAlignment="1" applyProtection="1">
      <alignment horizontal="center" vertical="center"/>
    </xf>
    <xf numFmtId="0" fontId="50" fillId="46" borderId="13" xfId="0" applyFont="1" applyFill="1" applyBorder="1" applyProtection="1">
      <protection hidden="1"/>
    </xf>
    <xf numFmtId="0" fontId="65" fillId="46" borderId="41" xfId="0" quotePrefix="1" applyFont="1" applyFill="1" applyBorder="1" applyAlignment="1" applyProtection="1">
      <alignment horizontal="center"/>
      <protection hidden="1"/>
    </xf>
    <xf numFmtId="0" fontId="65" fillId="10" borderId="41" xfId="0" quotePrefix="1" applyFont="1" applyFill="1" applyBorder="1" applyAlignment="1" applyProtection="1">
      <alignment horizontal="center"/>
      <protection hidden="1"/>
    </xf>
    <xf numFmtId="0" fontId="50" fillId="47" borderId="13" xfId="0" applyFont="1" applyFill="1" applyBorder="1" applyProtection="1">
      <protection hidden="1"/>
    </xf>
    <xf numFmtId="0" fontId="50" fillId="48" borderId="13" xfId="0" applyFont="1" applyFill="1" applyBorder="1" applyProtection="1">
      <protection hidden="1"/>
    </xf>
    <xf numFmtId="0" fontId="65" fillId="48" borderId="40" xfId="0" quotePrefix="1" applyFont="1" applyFill="1" applyBorder="1" applyAlignment="1" applyProtection="1">
      <protection hidden="1"/>
    </xf>
    <xf numFmtId="0" fontId="65" fillId="48" borderId="41" xfId="0" quotePrefix="1" applyFont="1" applyFill="1" applyBorder="1" applyAlignment="1" applyProtection="1">
      <alignment horizontal="center"/>
      <protection hidden="1"/>
    </xf>
    <xf numFmtId="0" fontId="65" fillId="48" borderId="48" xfId="0" quotePrefix="1" applyFont="1" applyFill="1" applyBorder="1" applyAlignment="1" applyProtection="1">
      <protection hidden="1"/>
    </xf>
    <xf numFmtId="0" fontId="65" fillId="48" borderId="41" xfId="0" quotePrefix="1" applyFont="1" applyFill="1" applyBorder="1" applyAlignment="1" applyProtection="1">
      <protection hidden="1"/>
    </xf>
    <xf numFmtId="0" fontId="65" fillId="48" borderId="66" xfId="0" quotePrefix="1" applyFont="1" applyFill="1" applyBorder="1" applyAlignment="1" applyProtection="1">
      <alignment horizontal="left"/>
      <protection hidden="1"/>
    </xf>
    <xf numFmtId="0" fontId="65" fillId="48" borderId="61" xfId="0" quotePrefix="1" applyFont="1" applyFill="1" applyBorder="1" applyAlignment="1" applyProtection="1">
      <alignment horizontal="left"/>
      <protection hidden="1"/>
    </xf>
    <xf numFmtId="0" fontId="65" fillId="48" borderId="73" xfId="0" applyFont="1" applyFill="1" applyBorder="1" applyAlignment="1" applyProtection="1">
      <alignment horizontal="center"/>
      <protection hidden="1"/>
    </xf>
    <xf numFmtId="0" fontId="67" fillId="48" borderId="17" xfId="0" applyFont="1" applyFill="1" applyBorder="1" applyProtection="1">
      <protection hidden="1"/>
    </xf>
    <xf numFmtId="0" fontId="69" fillId="48" borderId="18" xfId="0" applyFont="1" applyFill="1" applyBorder="1" applyProtection="1">
      <protection hidden="1"/>
    </xf>
    <xf numFmtId="0" fontId="69" fillId="48" borderId="18" xfId="0" quotePrefix="1" applyFont="1" applyFill="1" applyBorder="1" applyAlignment="1" applyProtection="1">
      <alignment horizontal="left"/>
      <protection hidden="1"/>
    </xf>
    <xf numFmtId="0" fontId="67" fillId="48" borderId="18" xfId="0" quotePrefix="1" applyFont="1" applyFill="1" applyBorder="1" applyAlignment="1" applyProtection="1">
      <alignment horizontal="left"/>
      <protection hidden="1"/>
    </xf>
    <xf numFmtId="188" fontId="67" fillId="48" borderId="18" xfId="0" applyNumberFormat="1" applyFont="1" applyFill="1" applyBorder="1" applyAlignment="1" applyProtection="1">
      <alignment horizontal="center"/>
      <protection hidden="1"/>
    </xf>
    <xf numFmtId="0" fontId="67" fillId="48" borderId="18" xfId="0" applyFont="1" applyFill="1" applyBorder="1" applyAlignment="1" applyProtection="1">
      <alignment horizontal="right"/>
      <protection hidden="1"/>
    </xf>
    <xf numFmtId="197" fontId="67" fillId="48" borderId="19" xfId="0" applyNumberFormat="1" applyFont="1" applyFill="1" applyBorder="1" applyAlignment="1" applyProtection="1">
      <alignment horizontal="right"/>
      <protection hidden="1"/>
    </xf>
    <xf numFmtId="0" fontId="93" fillId="0" borderId="0" xfId="0" applyFont="1" applyFill="1" applyBorder="1" applyAlignment="1">
      <alignment horizontal="left" vertical="center"/>
    </xf>
    <xf numFmtId="0" fontId="0" fillId="0" borderId="0" xfId="0" applyFill="1" applyBorder="1" applyAlignment="1">
      <alignment horizontal="left" vertical="center"/>
    </xf>
    <xf numFmtId="2" fontId="0" fillId="0" borderId="0" xfId="0" applyNumberFormat="1" applyFill="1" applyBorder="1" applyAlignment="1">
      <alignment horizontal="left" vertical="center"/>
    </xf>
    <xf numFmtId="0" fontId="94" fillId="0" borderId="0" xfId="0" applyFont="1" applyFill="1" applyBorder="1" applyAlignment="1">
      <alignment horizontal="left" vertical="center"/>
    </xf>
    <xf numFmtId="2" fontId="95" fillId="0" borderId="0" xfId="0" applyNumberFormat="1" applyFont="1" applyFill="1" applyBorder="1" applyAlignment="1">
      <alignment horizontal="left" vertical="center"/>
    </xf>
    <xf numFmtId="0" fontId="50" fillId="0" borderId="5" xfId="0" quotePrefix="1" applyFont="1" applyFill="1" applyBorder="1" applyAlignment="1" applyProtection="1">
      <alignment horizontal="right"/>
      <protection hidden="1"/>
    </xf>
    <xf numFmtId="0" fontId="50" fillId="0" borderId="5" xfId="0" applyFont="1" applyFill="1" applyBorder="1" applyAlignment="1" applyProtection="1">
      <alignment horizontal="right"/>
      <protection hidden="1"/>
    </xf>
    <xf numFmtId="0" fontId="50" fillId="0" borderId="7" xfId="0" applyFont="1" applyFill="1" applyBorder="1" applyAlignment="1" applyProtection="1">
      <alignment horizontal="right" vertical="center"/>
      <protection hidden="1"/>
    </xf>
    <xf numFmtId="0" fontId="2" fillId="2" borderId="55" xfId="0" applyFont="1" applyFill="1" applyBorder="1" applyAlignment="1" applyProtection="1">
      <alignment horizontal="center" vertical="center"/>
    </xf>
    <xf numFmtId="0" fontId="31" fillId="2" borderId="39" xfId="26" applyFont="1" applyFill="1" applyBorder="1" applyAlignment="1" applyProtection="1">
      <alignment horizontal="center" vertical="center"/>
    </xf>
    <xf numFmtId="0" fontId="31" fillId="2" borderId="60" xfId="26" applyFont="1" applyFill="1" applyBorder="1" applyAlignment="1" applyProtection="1">
      <alignment horizontal="center" vertical="center"/>
    </xf>
    <xf numFmtId="0" fontId="31" fillId="2" borderId="58" xfId="26" applyFont="1" applyFill="1" applyBorder="1" applyAlignment="1" applyProtection="1">
      <alignment horizontal="center" vertical="center"/>
    </xf>
    <xf numFmtId="0" fontId="31" fillId="2" borderId="27" xfId="26" applyFont="1" applyFill="1" applyBorder="1" applyAlignment="1" applyProtection="1">
      <alignment horizontal="center"/>
    </xf>
    <xf numFmtId="0" fontId="4" fillId="0" borderId="34" xfId="0" applyFont="1" applyBorder="1" applyAlignment="1" applyProtection="1">
      <alignment horizontal="left"/>
    </xf>
    <xf numFmtId="0" fontId="3" fillId="0" borderId="42" xfId="0" applyFont="1" applyFill="1" applyBorder="1" applyAlignment="1" applyProtection="1">
      <alignment horizontal="center"/>
    </xf>
    <xf numFmtId="0" fontId="4" fillId="0" borderId="18" xfId="0" applyFont="1" applyFill="1" applyBorder="1" applyAlignment="1" applyProtection="1">
      <alignment horizontal="center"/>
    </xf>
    <xf numFmtId="0" fontId="3" fillId="0" borderId="19" xfId="0" applyFont="1" applyFill="1" applyBorder="1" applyAlignment="1" applyProtection="1">
      <alignment horizontal="center"/>
    </xf>
    <xf numFmtId="0" fontId="1" fillId="2" borderId="22" xfId="0" applyFont="1" applyFill="1" applyBorder="1" applyAlignment="1">
      <alignment horizontal="center"/>
    </xf>
    <xf numFmtId="0" fontId="77" fillId="38" borderId="123" xfId="28" applyBorder="1"/>
    <xf numFmtId="49" fontId="0" fillId="0" borderId="0" xfId="0" applyNumberFormat="1"/>
    <xf numFmtId="0" fontId="50" fillId="0" borderId="75" xfId="0" applyFont="1" applyFill="1" applyBorder="1" applyAlignment="1" applyProtection="1">
      <alignment horizontal="left"/>
      <protection hidden="1"/>
    </xf>
    <xf numFmtId="0" fontId="50" fillId="0" borderId="43" xfId="0" quotePrefix="1" applyFont="1" applyFill="1" applyBorder="1" applyAlignment="1" applyProtection="1">
      <alignment horizontal="left"/>
      <protection hidden="1"/>
    </xf>
    <xf numFmtId="172" fontId="65" fillId="8" borderId="5" xfId="0" quotePrefix="1" applyNumberFormat="1" applyFont="1" applyFill="1" applyBorder="1" applyAlignment="1" applyProtection="1">
      <alignment horizontal="center"/>
      <protection locked="0"/>
    </xf>
    <xf numFmtId="172" fontId="65" fillId="8" borderId="9" xfId="0" quotePrefix="1" applyNumberFormat="1" applyFont="1" applyFill="1" applyBorder="1" applyAlignment="1" applyProtection="1">
      <alignment horizontal="center"/>
      <protection locked="0"/>
    </xf>
    <xf numFmtId="0" fontId="50" fillId="0" borderId="63" xfId="0" quotePrefix="1" applyFont="1" applyFill="1" applyBorder="1" applyAlignment="1" applyProtection="1">
      <alignment horizontal="left" vertical="center"/>
      <protection hidden="1"/>
    </xf>
    <xf numFmtId="0" fontId="50" fillId="0" borderId="65" xfId="0" quotePrefix="1" applyFont="1" applyFill="1" applyBorder="1" applyAlignment="1" applyProtection="1">
      <alignment horizontal="left" vertical="center"/>
      <protection hidden="1"/>
    </xf>
    <xf numFmtId="195" fontId="65" fillId="0" borderId="27" xfId="0" applyNumberFormat="1" applyFont="1" applyFill="1" applyBorder="1" applyAlignment="1" applyProtection="1">
      <alignment horizontal="center"/>
      <protection hidden="1"/>
    </xf>
    <xf numFmtId="195" fontId="65" fillId="0" borderId="65" xfId="0" applyNumberFormat="1" applyFont="1" applyFill="1" applyBorder="1" applyAlignment="1" applyProtection="1">
      <alignment horizontal="center"/>
      <protection hidden="1"/>
    </xf>
    <xf numFmtId="195" fontId="65" fillId="0" borderId="76" xfId="0" applyNumberFormat="1" applyFont="1" applyFill="1" applyBorder="1" applyAlignment="1" applyProtection="1">
      <alignment horizontal="center"/>
      <protection hidden="1"/>
    </xf>
    <xf numFmtId="0" fontId="50" fillId="0" borderId="63" xfId="0" applyFont="1" applyFill="1" applyBorder="1" applyAlignment="1" applyProtection="1">
      <alignment horizontal="left"/>
      <protection hidden="1"/>
    </xf>
    <xf numFmtId="0" fontId="50" fillId="0" borderId="65" xfId="0" applyFont="1" applyFill="1" applyBorder="1" applyAlignment="1" applyProtection="1">
      <alignment horizontal="left"/>
      <protection hidden="1"/>
    </xf>
    <xf numFmtId="0" fontId="50" fillId="0" borderId="22" xfId="0" applyFont="1" applyFill="1" applyBorder="1" applyAlignment="1" applyProtection="1">
      <alignment horizontal="center"/>
      <protection hidden="1"/>
    </xf>
    <xf numFmtId="0" fontId="50" fillId="0" borderId="34" xfId="0" applyFont="1" applyFill="1" applyBorder="1" applyAlignment="1" applyProtection="1">
      <alignment horizontal="left"/>
      <protection hidden="1"/>
    </xf>
    <xf numFmtId="0" fontId="50" fillId="0" borderId="37" xfId="0" applyFont="1" applyFill="1" applyBorder="1" applyAlignment="1" applyProtection="1">
      <alignment horizontal="left"/>
      <protection hidden="1"/>
    </xf>
    <xf numFmtId="0" fontId="50" fillId="0" borderId="38" xfId="0" applyFont="1" applyFill="1" applyBorder="1" applyAlignment="1" applyProtection="1">
      <alignment horizontal="left"/>
      <protection hidden="1"/>
    </xf>
    <xf numFmtId="196" fontId="65" fillId="0" borderId="5" xfId="0" applyNumberFormat="1" applyFont="1" applyFill="1" applyBorder="1" applyAlignment="1" applyProtection="1">
      <alignment horizontal="center"/>
      <protection hidden="1"/>
    </xf>
    <xf numFmtId="0" fontId="65" fillId="10" borderId="21" xfId="0" applyFont="1" applyFill="1" applyBorder="1" applyAlignment="1" applyProtection="1">
      <alignment horizontal="left"/>
      <protection hidden="1"/>
    </xf>
    <xf numFmtId="0" fontId="65" fillId="10" borderId="22" xfId="0" applyFont="1" applyFill="1" applyBorder="1" applyAlignment="1" applyProtection="1">
      <alignment horizontal="left"/>
      <protection hidden="1"/>
    </xf>
    <xf numFmtId="0" fontId="65" fillId="10" borderId="77" xfId="0" applyFont="1" applyFill="1" applyBorder="1" applyAlignment="1" applyProtection="1">
      <alignment horizontal="left"/>
      <protection hidden="1"/>
    </xf>
    <xf numFmtId="189" fontId="65" fillId="8" borderId="7" xfId="0" quotePrefix="1" applyNumberFormat="1" applyFont="1" applyFill="1" applyBorder="1" applyAlignment="1" applyProtection="1">
      <alignment horizontal="center"/>
      <protection locked="0"/>
    </xf>
    <xf numFmtId="189" fontId="65" fillId="8" borderId="72" xfId="0" quotePrefix="1" applyNumberFormat="1" applyFont="1" applyFill="1" applyBorder="1" applyAlignment="1" applyProtection="1">
      <alignment horizontal="center"/>
      <protection locked="0"/>
    </xf>
    <xf numFmtId="0" fontId="50" fillId="0" borderId="2" xfId="0" applyFont="1" applyFill="1" applyBorder="1" applyAlignment="1" applyProtection="1">
      <alignment horizontal="left"/>
    </xf>
    <xf numFmtId="0" fontId="50" fillId="0" borderId="3" xfId="0" applyFont="1" applyFill="1" applyBorder="1" applyAlignment="1" applyProtection="1">
      <alignment horizontal="left"/>
    </xf>
    <xf numFmtId="0" fontId="50" fillId="0" borderId="4" xfId="0" applyFont="1" applyFill="1" applyBorder="1" applyAlignment="1" applyProtection="1">
      <alignment horizontal="left"/>
    </xf>
    <xf numFmtId="0" fontId="50" fillId="0" borderId="5" xfId="0" applyFont="1" applyFill="1" applyBorder="1" applyAlignment="1" applyProtection="1">
      <alignment horizontal="left"/>
    </xf>
    <xf numFmtId="0" fontId="50" fillId="0" borderId="6" xfId="0" applyFont="1" applyFill="1" applyBorder="1" applyAlignment="1" applyProtection="1">
      <alignment horizontal="left"/>
    </xf>
    <xf numFmtId="0" fontId="50" fillId="0" borderId="7" xfId="0" applyFont="1" applyFill="1" applyBorder="1" applyAlignment="1" applyProtection="1">
      <alignment horizontal="left"/>
    </xf>
    <xf numFmtId="0" fontId="50" fillId="0" borderId="4" xfId="0" applyFont="1" applyFill="1" applyBorder="1" applyAlignment="1" applyProtection="1">
      <alignment horizontal="left"/>
      <protection hidden="1"/>
    </xf>
    <xf numFmtId="0" fontId="50" fillId="0" borderId="5" xfId="0" quotePrefix="1" applyFont="1" applyFill="1" applyBorder="1" applyAlignment="1" applyProtection="1">
      <alignment horizontal="left"/>
      <protection hidden="1"/>
    </xf>
    <xf numFmtId="0" fontId="50" fillId="0" borderId="22" xfId="0" quotePrefix="1" applyFont="1" applyFill="1" applyBorder="1" applyAlignment="1" applyProtection="1">
      <alignment horizontal="center"/>
      <protection hidden="1"/>
    </xf>
    <xf numFmtId="0" fontId="65" fillId="10" borderId="43" xfId="0" applyFont="1" applyFill="1" applyBorder="1" applyAlignment="1" applyProtection="1">
      <alignment horizontal="center"/>
      <protection hidden="1"/>
    </xf>
    <xf numFmtId="0" fontId="50" fillId="0" borderId="75" xfId="0" quotePrefix="1" applyFont="1" applyFill="1" applyBorder="1" applyAlignment="1" applyProtection="1">
      <alignment horizontal="left"/>
      <protection hidden="1"/>
    </xf>
    <xf numFmtId="0" fontId="65" fillId="8" borderId="5" xfId="0" applyFont="1" applyFill="1" applyBorder="1" applyAlignment="1" applyProtection="1">
      <alignment horizontal="center"/>
      <protection locked="0"/>
    </xf>
    <xf numFmtId="0" fontId="65" fillId="8" borderId="9" xfId="0" applyFont="1" applyFill="1" applyBorder="1" applyAlignment="1" applyProtection="1">
      <alignment horizontal="center"/>
      <protection locked="0"/>
    </xf>
    <xf numFmtId="0" fontId="65" fillId="10" borderId="48" xfId="0" quotePrefix="1" applyFont="1" applyFill="1" applyBorder="1" applyAlignment="1" applyProtection="1">
      <alignment horizontal="left"/>
      <protection hidden="1"/>
    </xf>
    <xf numFmtId="0" fontId="65" fillId="10" borderId="40" xfId="0" quotePrefix="1" applyFont="1" applyFill="1" applyBorder="1" applyAlignment="1" applyProtection="1">
      <alignment horizontal="left"/>
      <protection hidden="1"/>
    </xf>
    <xf numFmtId="0" fontId="50" fillId="0" borderId="75" xfId="0" applyFont="1" applyFill="1" applyBorder="1" applyAlignment="1" applyProtection="1">
      <alignment horizontal="left" vertical="center" wrapText="1"/>
      <protection hidden="1"/>
    </xf>
    <xf numFmtId="0" fontId="50" fillId="0" borderId="43" xfId="0" applyFont="1" applyFill="1" applyBorder="1" applyAlignment="1" applyProtection="1">
      <alignment horizontal="left" vertical="center" wrapText="1"/>
      <protection hidden="1"/>
    </xf>
    <xf numFmtId="0" fontId="50" fillId="0" borderId="44" xfId="0" applyFont="1" applyFill="1" applyBorder="1" applyAlignment="1" applyProtection="1">
      <alignment horizontal="left" vertical="center" wrapText="1"/>
      <protection hidden="1"/>
    </xf>
    <xf numFmtId="0" fontId="50" fillId="0" borderId="66" xfId="0" applyFont="1" applyFill="1" applyBorder="1" applyAlignment="1" applyProtection="1">
      <alignment horizontal="left" vertical="center" wrapText="1"/>
      <protection hidden="1"/>
    </xf>
    <xf numFmtId="0" fontId="50" fillId="0" borderId="61" xfId="0" applyFont="1" applyFill="1" applyBorder="1" applyAlignment="1" applyProtection="1">
      <alignment horizontal="left" vertical="center" wrapText="1"/>
      <protection hidden="1"/>
    </xf>
    <xf numFmtId="0" fontId="50" fillId="0" borderId="73" xfId="0" applyFont="1" applyFill="1" applyBorder="1" applyAlignment="1" applyProtection="1">
      <alignment horizontal="left" vertical="center" wrapText="1"/>
      <protection hidden="1"/>
    </xf>
    <xf numFmtId="194" fontId="50" fillId="0" borderId="5" xfId="0" applyNumberFormat="1" applyFont="1" applyFill="1" applyBorder="1" applyAlignment="1" applyProtection="1">
      <alignment horizontal="center"/>
      <protection hidden="1"/>
    </xf>
    <xf numFmtId="194" fontId="50" fillId="0" borderId="9" xfId="0" applyNumberFormat="1" applyFont="1" applyFill="1" applyBorder="1" applyAlignment="1" applyProtection="1">
      <alignment horizontal="center"/>
      <protection hidden="1"/>
    </xf>
    <xf numFmtId="190" fontId="50" fillId="0" borderId="7" xfId="0" applyNumberFormat="1" applyFont="1" applyFill="1" applyBorder="1" applyAlignment="1" applyProtection="1">
      <alignment horizontal="center" vertical="center"/>
      <protection hidden="1"/>
    </xf>
    <xf numFmtId="190" fontId="50" fillId="0" borderId="72" xfId="0" applyNumberFormat="1" applyFont="1" applyFill="1" applyBorder="1" applyAlignment="1" applyProtection="1">
      <alignment horizontal="center" vertical="center"/>
      <protection hidden="1"/>
    </xf>
    <xf numFmtId="0" fontId="50" fillId="0" borderId="6" xfId="0" applyFont="1" applyFill="1" applyBorder="1" applyAlignment="1" applyProtection="1">
      <alignment horizontal="left" wrapText="1"/>
      <protection hidden="1"/>
    </xf>
    <xf numFmtId="0" fontId="50" fillId="0" borderId="7" xfId="0" applyFont="1" applyFill="1" applyBorder="1" applyAlignment="1" applyProtection="1">
      <alignment horizontal="left" wrapText="1"/>
      <protection hidden="1"/>
    </xf>
    <xf numFmtId="1" fontId="50" fillId="0" borderId="22" xfId="0" applyNumberFormat="1" applyFont="1" applyFill="1" applyBorder="1" applyAlignment="1" applyProtection="1">
      <alignment horizontal="center"/>
      <protection hidden="1"/>
    </xf>
    <xf numFmtId="166" fontId="65" fillId="8" borderId="5" xfId="0" applyNumberFormat="1" applyFont="1" applyFill="1" applyBorder="1" applyAlignment="1" applyProtection="1">
      <alignment horizontal="center"/>
      <protection locked="0"/>
    </xf>
    <xf numFmtId="166" fontId="65" fillId="8" borderId="9" xfId="0" applyNumberFormat="1" applyFont="1" applyFill="1" applyBorder="1" applyAlignment="1" applyProtection="1">
      <alignment horizontal="center"/>
      <protection locked="0"/>
    </xf>
    <xf numFmtId="0" fontId="50" fillId="0" borderId="0" xfId="0" applyFont="1" applyFill="1" applyBorder="1" applyAlignment="1" applyProtection="1">
      <alignment horizontal="center"/>
      <protection hidden="1"/>
    </xf>
    <xf numFmtId="0" fontId="65" fillId="10" borderId="41" xfId="0" quotePrefix="1" applyFont="1" applyFill="1" applyBorder="1" applyAlignment="1" applyProtection="1">
      <alignment horizontal="left"/>
      <protection hidden="1"/>
    </xf>
    <xf numFmtId="172" fontId="67" fillId="7" borderId="21" xfId="28" applyNumberFormat="1" applyFont="1" applyFill="1" applyBorder="1" applyAlignment="1" applyProtection="1">
      <alignment horizontal="center" vertical="center" wrapText="1"/>
    </xf>
    <xf numFmtId="172" fontId="67" fillId="7" borderId="22" xfId="28" applyNumberFormat="1" applyFont="1" applyFill="1" applyBorder="1" applyAlignment="1" applyProtection="1">
      <alignment horizontal="center" vertical="center" wrapText="1"/>
    </xf>
    <xf numFmtId="172" fontId="67" fillId="7" borderId="24" xfId="28" applyNumberFormat="1" applyFont="1" applyFill="1" applyBorder="1" applyAlignment="1" applyProtection="1">
      <alignment horizontal="center" vertical="center" wrapText="1"/>
    </xf>
    <xf numFmtId="0" fontId="92" fillId="10" borderId="21" xfId="0" quotePrefix="1" applyFont="1" applyFill="1" applyBorder="1" applyAlignment="1" applyProtection="1">
      <alignment horizontal="center"/>
      <protection hidden="1"/>
    </xf>
    <xf numFmtId="0" fontId="92" fillId="10" borderId="22" xfId="0" quotePrefix="1" applyFont="1" applyFill="1" applyBorder="1" applyAlignment="1" applyProtection="1">
      <alignment horizontal="center"/>
      <protection hidden="1"/>
    </xf>
    <xf numFmtId="0" fontId="92" fillId="10" borderId="24" xfId="0" quotePrefix="1" applyFont="1" applyFill="1" applyBorder="1" applyAlignment="1" applyProtection="1">
      <alignment horizontal="center"/>
      <protection hidden="1"/>
    </xf>
    <xf numFmtId="0" fontId="65" fillId="10" borderId="21" xfId="0" quotePrefix="1" applyFont="1" applyFill="1" applyBorder="1" applyAlignment="1" applyProtection="1">
      <alignment horizontal="left"/>
      <protection hidden="1"/>
    </xf>
    <xf numFmtId="0" fontId="65" fillId="10" borderId="22" xfId="0" quotePrefix="1" applyFont="1" applyFill="1" applyBorder="1" applyAlignment="1" applyProtection="1">
      <alignment horizontal="left"/>
      <protection hidden="1"/>
    </xf>
    <xf numFmtId="195" fontId="65" fillId="0" borderId="5" xfId="0" applyNumberFormat="1" applyFont="1" applyFill="1" applyBorder="1" applyAlignment="1" applyProtection="1">
      <alignment horizontal="center"/>
      <protection hidden="1"/>
    </xf>
    <xf numFmtId="199" fontId="50" fillId="0" borderId="5" xfId="0" applyNumberFormat="1" applyFont="1" applyFill="1" applyBorder="1" applyAlignment="1" applyProtection="1">
      <alignment horizontal="center"/>
      <protection hidden="1"/>
    </xf>
    <xf numFmtId="199" fontId="50" fillId="0" borderId="9" xfId="0" applyNumberFormat="1" applyFont="1" applyFill="1" applyBorder="1" applyAlignment="1" applyProtection="1">
      <alignment horizontal="center"/>
      <protection hidden="1"/>
    </xf>
    <xf numFmtId="0" fontId="50" fillId="8" borderId="34" xfId="0" applyFont="1" applyFill="1" applyBorder="1" applyAlignment="1" applyProtection="1">
      <alignment horizontal="left"/>
      <protection locked="0"/>
    </xf>
    <xf numFmtId="0" fontId="50" fillId="8" borderId="37" xfId="0" applyFont="1" applyFill="1" applyBorder="1" applyAlignment="1" applyProtection="1">
      <alignment horizontal="left"/>
      <protection locked="0"/>
    </xf>
    <xf numFmtId="0" fontId="50" fillId="8" borderId="38" xfId="0" applyFont="1" applyFill="1" applyBorder="1" applyAlignment="1" applyProtection="1">
      <alignment horizontal="left"/>
      <protection locked="0"/>
    </xf>
    <xf numFmtId="186" fontId="50" fillId="8" borderId="5" xfId="0" applyNumberFormat="1" applyFont="1" applyFill="1" applyBorder="1" applyAlignment="1" applyProtection="1">
      <alignment horizontal="center"/>
      <protection locked="0"/>
    </xf>
    <xf numFmtId="165" fontId="50" fillId="8" borderId="5" xfId="0" applyNumberFormat="1" applyFont="1" applyFill="1" applyBorder="1" applyAlignment="1" applyProtection="1">
      <alignment horizontal="center"/>
      <protection locked="0"/>
    </xf>
    <xf numFmtId="186" fontId="50" fillId="0" borderId="39" xfId="0" applyNumberFormat="1" applyFont="1" applyFill="1" applyBorder="1" applyAlignment="1" applyProtection="1">
      <alignment horizontal="right"/>
      <protection hidden="1"/>
    </xf>
    <xf numFmtId="186" fontId="50" fillId="0" borderId="42" xfId="0" applyNumberFormat="1" applyFont="1" applyFill="1" applyBorder="1" applyAlignment="1" applyProtection="1">
      <alignment horizontal="right"/>
      <protection hidden="1"/>
    </xf>
    <xf numFmtId="186" fontId="65" fillId="0" borderId="27" xfId="0" applyNumberFormat="1" applyFont="1" applyFill="1" applyBorder="1" applyAlignment="1" applyProtection="1">
      <alignment horizontal="right"/>
      <protection hidden="1"/>
    </xf>
    <xf numFmtId="186" fontId="65" fillId="0" borderId="76" xfId="0" applyNumberFormat="1" applyFont="1" applyFill="1" applyBorder="1" applyAlignment="1" applyProtection="1">
      <alignment horizontal="right"/>
      <protection hidden="1"/>
    </xf>
    <xf numFmtId="193" fontId="65" fillId="0" borderId="27" xfId="0" applyNumberFormat="1" applyFont="1" applyFill="1" applyBorder="1" applyAlignment="1" applyProtection="1">
      <alignment horizontal="center"/>
      <protection hidden="1"/>
    </xf>
    <xf numFmtId="193" fontId="65" fillId="0" borderId="76" xfId="0" applyNumberFormat="1" applyFont="1" applyFill="1" applyBorder="1" applyAlignment="1" applyProtection="1">
      <alignment horizontal="center"/>
      <protection hidden="1"/>
    </xf>
    <xf numFmtId="188" fontId="65" fillId="8" borderId="5" xfId="0" quotePrefix="1" applyNumberFormat="1" applyFont="1" applyFill="1" applyBorder="1" applyAlignment="1" applyProtection="1">
      <alignment horizontal="center"/>
      <protection locked="0"/>
    </xf>
    <xf numFmtId="188" fontId="65" fillId="8" borderId="9" xfId="0" quotePrefix="1" applyNumberFormat="1" applyFont="1" applyFill="1" applyBorder="1" applyAlignment="1" applyProtection="1">
      <alignment horizontal="center"/>
      <protection locked="0"/>
    </xf>
    <xf numFmtId="0" fontId="50" fillId="0" borderId="22" xfId="0" applyNumberFormat="1" applyFont="1" applyFill="1" applyBorder="1" applyAlignment="1" applyProtection="1">
      <alignment horizontal="center" vertical="center"/>
      <protection hidden="1"/>
    </xf>
    <xf numFmtId="0" fontId="65" fillId="10" borderId="13" xfId="0" quotePrefix="1" applyFont="1" applyFill="1" applyBorder="1" applyAlignment="1" applyProtection="1">
      <alignment horizontal="left"/>
      <protection hidden="1"/>
    </xf>
    <xf numFmtId="192" fontId="65" fillId="45" borderId="39" xfId="0" applyNumberFormat="1" applyFont="1" applyFill="1" applyBorder="1" applyAlignment="1" applyProtection="1">
      <alignment horizontal="center"/>
      <protection hidden="1"/>
    </xf>
    <xf numFmtId="192" fontId="65" fillId="45" borderId="42" xfId="0" applyNumberFormat="1" applyFont="1" applyFill="1" applyBorder="1" applyAlignment="1" applyProtection="1">
      <alignment horizontal="center"/>
      <protection hidden="1"/>
    </xf>
    <xf numFmtId="0" fontId="64" fillId="10" borderId="12" xfId="0" applyFont="1" applyFill="1" applyBorder="1" applyAlignment="1" applyProtection="1">
      <alignment horizontal="left" vertical="center" wrapText="1"/>
      <protection hidden="1"/>
    </xf>
    <xf numFmtId="0" fontId="64" fillId="10" borderId="13" xfId="0" applyFont="1" applyFill="1" applyBorder="1" applyAlignment="1" applyProtection="1">
      <alignment horizontal="left" vertical="center" wrapText="1"/>
      <protection hidden="1"/>
    </xf>
    <xf numFmtId="0" fontId="64" fillId="10" borderId="14" xfId="0" applyFont="1" applyFill="1" applyBorder="1" applyAlignment="1" applyProtection="1">
      <alignment horizontal="left" vertical="center" wrapText="1"/>
      <protection hidden="1"/>
    </xf>
    <xf numFmtId="0" fontId="64" fillId="10" borderId="20" xfId="0" applyFont="1" applyFill="1" applyBorder="1" applyAlignment="1" applyProtection="1">
      <alignment horizontal="left" vertical="center" wrapText="1"/>
      <protection hidden="1"/>
    </xf>
    <xf numFmtId="0" fontId="64" fillId="10" borderId="0" xfId="0" applyFont="1" applyFill="1" applyBorder="1" applyAlignment="1" applyProtection="1">
      <alignment horizontal="left" vertical="center" wrapText="1"/>
      <protection hidden="1"/>
    </xf>
    <xf numFmtId="0" fontId="64" fillId="10" borderId="15" xfId="0" applyFont="1" applyFill="1" applyBorder="1" applyAlignment="1" applyProtection="1">
      <alignment horizontal="left" vertical="center" wrapText="1"/>
      <protection hidden="1"/>
    </xf>
    <xf numFmtId="0" fontId="96" fillId="0" borderId="22" xfId="0" applyFont="1" applyFill="1" applyBorder="1" applyAlignment="1" applyProtection="1">
      <alignment horizontal="left"/>
      <protection hidden="1"/>
    </xf>
    <xf numFmtId="0" fontId="65" fillId="10" borderId="55" xfId="0" applyFont="1" applyFill="1" applyBorder="1" applyAlignment="1" applyProtection="1">
      <alignment horizontal="center"/>
      <protection hidden="1"/>
    </xf>
    <xf numFmtId="0" fontId="65" fillId="10" borderId="78" xfId="0" applyFont="1" applyFill="1" applyBorder="1" applyAlignment="1" applyProtection="1">
      <alignment horizontal="center"/>
      <protection hidden="1"/>
    </xf>
    <xf numFmtId="0" fontId="65" fillId="10" borderId="64" xfId="0" quotePrefix="1" applyFont="1" applyFill="1" applyBorder="1" applyAlignment="1" applyProtection="1">
      <alignment horizontal="center"/>
      <protection hidden="1"/>
    </xf>
    <xf numFmtId="0" fontId="65" fillId="10" borderId="79" xfId="0" quotePrefix="1" applyFont="1" applyFill="1" applyBorder="1" applyAlignment="1" applyProtection="1">
      <alignment horizontal="center"/>
      <protection hidden="1"/>
    </xf>
    <xf numFmtId="0" fontId="65" fillId="10" borderId="64" xfId="0" applyFont="1" applyFill="1" applyBorder="1" applyAlignment="1" applyProtection="1">
      <alignment horizontal="center"/>
      <protection hidden="1"/>
    </xf>
    <xf numFmtId="0" fontId="65" fillId="10" borderId="14" xfId="0" applyFont="1" applyFill="1" applyBorder="1" applyAlignment="1" applyProtection="1">
      <alignment horizontal="center"/>
      <protection hidden="1"/>
    </xf>
    <xf numFmtId="49" fontId="26" fillId="8" borderId="33" xfId="0" applyNumberFormat="1" applyFont="1" applyFill="1" applyBorder="1" applyAlignment="1" applyProtection="1">
      <alignment horizontal="center" vertical="center" wrapText="1"/>
      <protection locked="0"/>
    </xf>
    <xf numFmtId="49" fontId="26" fillId="8" borderId="22" xfId="0" applyNumberFormat="1" applyFont="1" applyFill="1" applyBorder="1" applyAlignment="1" applyProtection="1">
      <alignment horizontal="center" vertical="center" wrapText="1"/>
      <protection locked="0"/>
    </xf>
    <xf numFmtId="49" fontId="26" fillId="8" borderId="24" xfId="0" applyNumberFormat="1" applyFont="1" applyFill="1" applyBorder="1" applyAlignment="1" applyProtection="1">
      <alignment horizontal="center" vertical="center" wrapText="1"/>
      <protection locked="0"/>
    </xf>
    <xf numFmtId="0" fontId="65" fillId="10" borderId="48" xfId="0" applyFont="1" applyFill="1" applyBorder="1" applyAlignment="1" applyProtection="1">
      <alignment horizontal="center"/>
      <protection hidden="1"/>
    </xf>
    <xf numFmtId="0" fontId="65" fillId="10" borderId="40" xfId="0" applyFont="1" applyFill="1" applyBorder="1" applyAlignment="1" applyProtection="1">
      <alignment horizontal="center"/>
      <protection hidden="1"/>
    </xf>
    <xf numFmtId="0" fontId="0" fillId="0" borderId="0" xfId="0" applyAlignment="1">
      <alignment horizontal="center"/>
    </xf>
    <xf numFmtId="0" fontId="10" fillId="38" borderId="81" xfId="28" applyFont="1" applyBorder="1" applyAlignment="1" applyProtection="1">
      <alignment horizontal="left" vertical="center"/>
      <protection locked="0"/>
    </xf>
    <xf numFmtId="0" fontId="39" fillId="38" borderId="82" xfId="28" applyFont="1" applyBorder="1" applyAlignment="1" applyProtection="1">
      <alignment horizontal="left" vertical="center"/>
      <protection locked="0"/>
    </xf>
    <xf numFmtId="0" fontId="39" fillId="38" borderId="83" xfId="28" applyFont="1" applyBorder="1" applyAlignment="1" applyProtection="1">
      <alignment horizontal="left" vertical="center"/>
      <protection locked="0"/>
    </xf>
    <xf numFmtId="0" fontId="10" fillId="38" borderId="84" xfId="28" applyFont="1" applyBorder="1" applyAlignment="1" applyProtection="1">
      <alignment horizontal="left" vertical="center" wrapText="1"/>
      <protection locked="0"/>
    </xf>
    <xf numFmtId="0" fontId="39" fillId="38" borderId="84" xfId="28" applyFont="1" applyBorder="1" applyAlignment="1" applyProtection="1">
      <alignment horizontal="left" vertical="center" wrapText="1"/>
      <protection locked="0"/>
    </xf>
    <xf numFmtId="0" fontId="39" fillId="38" borderId="85" xfId="28" applyFont="1" applyBorder="1" applyAlignment="1" applyProtection="1">
      <alignment horizontal="left" vertical="center" wrapText="1"/>
      <protection locked="0"/>
    </xf>
    <xf numFmtId="0" fontId="26" fillId="2" borderId="21" xfId="0" applyFont="1" applyFill="1" applyBorder="1" applyAlignment="1" applyProtection="1">
      <alignment horizontal="center" vertical="center"/>
    </xf>
    <xf numFmtId="0" fontId="36" fillId="0" borderId="22" xfId="0" applyFont="1" applyBorder="1" applyAlignment="1" applyProtection="1">
      <alignment vertical="center"/>
    </xf>
    <xf numFmtId="0" fontId="36" fillId="0" borderId="24" xfId="0" applyFont="1" applyBorder="1" applyAlignment="1" applyProtection="1">
      <alignment vertical="center"/>
    </xf>
    <xf numFmtId="0" fontId="50" fillId="2" borderId="21" xfId="0" applyFont="1" applyFill="1" applyBorder="1" applyAlignment="1">
      <alignment horizontal="center" vertical="center"/>
    </xf>
    <xf numFmtId="0" fontId="50" fillId="2" borderId="22" xfId="0" applyFont="1" applyFill="1" applyBorder="1" applyAlignment="1">
      <alignment horizontal="center" vertical="center"/>
    </xf>
    <xf numFmtId="0" fontId="50" fillId="2" borderId="77" xfId="0" applyFont="1" applyFill="1" applyBorder="1" applyAlignment="1">
      <alignment horizontal="center" vertical="center"/>
    </xf>
    <xf numFmtId="0" fontId="1" fillId="2" borderId="49" xfId="0" applyFont="1" applyFill="1" applyBorder="1" applyAlignment="1">
      <alignment horizontal="center"/>
    </xf>
    <xf numFmtId="0" fontId="1" fillId="2" borderId="50" xfId="0" applyFont="1" applyFill="1" applyBorder="1" applyAlignment="1">
      <alignment horizontal="center"/>
    </xf>
    <xf numFmtId="0" fontId="1" fillId="2" borderId="12" xfId="0" applyFont="1" applyFill="1" applyBorder="1" applyAlignment="1" applyProtection="1">
      <alignment horizontal="left"/>
    </xf>
    <xf numFmtId="0" fontId="0" fillId="0" borderId="13" xfId="0" applyBorder="1" applyProtection="1"/>
    <xf numFmtId="0" fontId="0" fillId="0" borderId="14" xfId="0" applyBorder="1" applyProtection="1"/>
    <xf numFmtId="0" fontId="3" fillId="2" borderId="20" xfId="0" applyFont="1" applyFill="1" applyBorder="1" applyAlignment="1" applyProtection="1">
      <alignment horizontal="left" vertical="top" wrapText="1"/>
    </xf>
    <xf numFmtId="0" fontId="0" fillId="0" borderId="0" xfId="0" applyProtection="1"/>
    <xf numFmtId="0" fontId="0" fillId="0" borderId="15" xfId="0" applyBorder="1" applyProtection="1"/>
    <xf numFmtId="0" fontId="0" fillId="0" borderId="20" xfId="0" applyBorder="1" applyProtection="1"/>
    <xf numFmtId="0" fontId="0" fillId="0" borderId="17" xfId="0" applyBorder="1" applyProtection="1"/>
    <xf numFmtId="0" fontId="0" fillId="0" borderId="18" xfId="0" applyBorder="1" applyProtection="1"/>
    <xf numFmtId="0" fontId="0" fillId="0" borderId="19" xfId="0" applyBorder="1" applyProtection="1"/>
    <xf numFmtId="0" fontId="81" fillId="0" borderId="0" xfId="33" applyAlignment="1" applyProtection="1">
      <alignment horizontal="center"/>
    </xf>
    <xf numFmtId="0" fontId="1" fillId="2" borderId="21" xfId="0" applyFont="1" applyFill="1" applyBorder="1" applyAlignment="1">
      <alignment horizontal="center"/>
    </xf>
    <xf numFmtId="0" fontId="1" fillId="2" borderId="22" xfId="0" applyFont="1" applyFill="1" applyBorder="1" applyAlignment="1">
      <alignment horizontal="center"/>
    </xf>
    <xf numFmtId="0" fontId="1" fillId="2" borderId="24" xfId="0" applyFont="1" applyFill="1" applyBorder="1" applyAlignment="1">
      <alignment horizontal="center"/>
    </xf>
    <xf numFmtId="0" fontId="3" fillId="2" borderId="20" xfId="0" applyFont="1" applyFill="1" applyBorder="1" applyAlignment="1">
      <alignment horizontal="left"/>
    </xf>
    <xf numFmtId="0" fontId="3" fillId="2" borderId="0" xfId="0" applyFont="1" applyFill="1" applyBorder="1" applyAlignment="1">
      <alignment horizontal="left"/>
    </xf>
    <xf numFmtId="0" fontId="3" fillId="2" borderId="34" xfId="0" applyFont="1" applyFill="1" applyBorder="1" applyAlignment="1">
      <alignment horizontal="left"/>
    </xf>
    <xf numFmtId="0" fontId="3" fillId="2" borderId="37" xfId="0" applyFont="1" applyFill="1" applyBorder="1" applyAlignment="1">
      <alignment horizontal="left"/>
    </xf>
    <xf numFmtId="0" fontId="3" fillId="2" borderId="80" xfId="0" applyFont="1" applyFill="1" applyBorder="1" applyAlignment="1">
      <alignment horizontal="left"/>
    </xf>
    <xf numFmtId="0" fontId="3" fillId="2" borderId="17" xfId="0" applyFont="1" applyFill="1" applyBorder="1" applyAlignment="1">
      <alignment horizontal="left"/>
    </xf>
    <xf numFmtId="0" fontId="3" fillId="2" borderId="18" xfId="0" applyFont="1" applyFill="1" applyBorder="1" applyAlignment="1">
      <alignment horizontal="left"/>
    </xf>
    <xf numFmtId="0" fontId="10" fillId="38" borderId="1" xfId="28" applyFont="1" applyBorder="1" applyAlignment="1" applyProtection="1">
      <alignment horizontal="left" vertical="center"/>
      <protection locked="0"/>
    </xf>
    <xf numFmtId="0" fontId="39" fillId="38" borderId="1" xfId="28" applyFont="1" applyBorder="1" applyAlignment="1" applyProtection="1">
      <alignment horizontal="left" vertical="center"/>
      <protection locked="0"/>
    </xf>
    <xf numFmtId="0" fontId="39" fillId="38" borderId="8" xfId="28" applyFont="1" applyBorder="1" applyAlignment="1" applyProtection="1">
      <alignment horizontal="left" vertical="center"/>
      <protection locked="0"/>
    </xf>
    <xf numFmtId="0" fontId="65" fillId="48" borderId="48" xfId="0" applyFont="1" applyFill="1" applyBorder="1" applyAlignment="1" applyProtection="1">
      <alignment horizontal="center"/>
      <protection hidden="1"/>
    </xf>
    <xf numFmtId="0" fontId="65" fillId="48" borderId="40" xfId="0" applyFont="1" applyFill="1" applyBorder="1" applyAlignment="1" applyProtection="1">
      <alignment horizontal="center"/>
      <protection hidden="1"/>
    </xf>
    <xf numFmtId="0" fontId="65" fillId="48" borderId="78" xfId="0" applyFont="1" applyFill="1" applyBorder="1" applyAlignment="1" applyProtection="1">
      <alignment horizontal="center"/>
      <protection hidden="1"/>
    </xf>
    <xf numFmtId="0" fontId="65" fillId="48" borderId="55" xfId="0" applyFont="1" applyFill="1" applyBorder="1" applyAlignment="1" applyProtection="1">
      <alignment horizontal="center"/>
      <protection hidden="1"/>
    </xf>
    <xf numFmtId="0" fontId="65" fillId="48" borderId="64" xfId="0" quotePrefix="1" applyFont="1" applyFill="1" applyBorder="1" applyAlignment="1" applyProtection="1">
      <alignment horizontal="center"/>
      <protection hidden="1"/>
    </xf>
    <xf numFmtId="0" fontId="65" fillId="48" borderId="79" xfId="0" quotePrefix="1" applyFont="1" applyFill="1" applyBorder="1" applyAlignment="1" applyProtection="1">
      <alignment horizontal="center"/>
      <protection hidden="1"/>
    </xf>
    <xf numFmtId="0" fontId="65" fillId="48" borderId="64" xfId="0" applyFont="1" applyFill="1" applyBorder="1" applyAlignment="1" applyProtection="1">
      <alignment horizontal="center"/>
      <protection hidden="1"/>
    </xf>
    <xf numFmtId="0" fontId="65" fillId="48" borderId="14" xfId="0" applyFont="1" applyFill="1" applyBorder="1" applyAlignment="1" applyProtection="1">
      <alignment horizontal="center"/>
      <protection hidden="1"/>
    </xf>
    <xf numFmtId="0" fontId="64" fillId="48" borderId="12" xfId="0" applyFont="1" applyFill="1" applyBorder="1" applyAlignment="1" applyProtection="1">
      <alignment horizontal="center" vertical="center" wrapText="1"/>
      <protection hidden="1"/>
    </xf>
    <xf numFmtId="0" fontId="64" fillId="48" borderId="13" xfId="0" applyFont="1" applyFill="1" applyBorder="1" applyAlignment="1" applyProtection="1">
      <alignment horizontal="center" vertical="center" wrapText="1"/>
      <protection hidden="1"/>
    </xf>
    <xf numFmtId="0" fontId="64" fillId="48" borderId="20" xfId="0" applyFont="1" applyFill="1" applyBorder="1" applyAlignment="1" applyProtection="1">
      <alignment horizontal="center" vertical="center" wrapText="1"/>
      <protection hidden="1"/>
    </xf>
    <xf numFmtId="0" fontId="64" fillId="48" borderId="0" xfId="0" applyFont="1" applyFill="1" applyBorder="1" applyAlignment="1" applyProtection="1">
      <alignment horizontal="center" vertical="center" wrapText="1"/>
      <protection hidden="1"/>
    </xf>
    <xf numFmtId="0" fontId="67" fillId="48" borderId="20" xfId="0" applyFont="1" applyFill="1" applyBorder="1" applyAlignment="1" applyProtection="1">
      <alignment horizontal="center" vertical="center" wrapText="1"/>
      <protection hidden="1"/>
    </xf>
    <xf numFmtId="0" fontId="67" fillId="48" borderId="0" xfId="0" applyFont="1" applyFill="1" applyBorder="1" applyAlignment="1" applyProtection="1">
      <alignment horizontal="center" vertical="center" wrapText="1"/>
      <protection hidden="1"/>
    </xf>
    <xf numFmtId="0" fontId="67" fillId="48" borderId="17" xfId="0" applyFont="1" applyFill="1" applyBorder="1" applyAlignment="1" applyProtection="1">
      <alignment horizontal="center" vertical="center" wrapText="1"/>
      <protection hidden="1"/>
    </xf>
    <xf numFmtId="0" fontId="67" fillId="48" borderId="18" xfId="0" applyFont="1" applyFill="1" applyBorder="1" applyAlignment="1" applyProtection="1">
      <alignment horizontal="center" vertical="center" wrapText="1"/>
      <protection hidden="1"/>
    </xf>
    <xf numFmtId="0" fontId="4"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20" xfId="0" applyFont="1" applyBorder="1" applyAlignment="1">
      <alignment horizontal="left" vertical="top" wrapText="1"/>
    </xf>
    <xf numFmtId="0" fontId="5" fillId="0" borderId="0" xfId="0" applyFont="1" applyBorder="1" applyAlignment="1">
      <alignment horizontal="left" vertical="top" wrapText="1"/>
    </xf>
    <xf numFmtId="0" fontId="5" fillId="0" borderId="15" xfId="0" applyFont="1" applyBorder="1" applyAlignment="1">
      <alignment horizontal="left" vertical="top" wrapText="1"/>
    </xf>
    <xf numFmtId="0" fontId="5" fillId="0" borderId="17" xfId="0" applyFont="1" applyBorder="1" applyAlignment="1">
      <alignment horizontal="left" vertical="top" wrapText="1"/>
    </xf>
    <xf numFmtId="0" fontId="5" fillId="0" borderId="18" xfId="0" applyFont="1" applyBorder="1" applyAlignment="1">
      <alignment horizontal="left" vertical="top" wrapText="1"/>
    </xf>
    <xf numFmtId="0" fontId="5" fillId="0" borderId="19" xfId="0" applyFont="1" applyBorder="1" applyAlignment="1">
      <alignment horizontal="left" vertical="top" wrapText="1"/>
    </xf>
    <xf numFmtId="0" fontId="3" fillId="8" borderId="4" xfId="0" applyFont="1" applyFill="1" applyBorder="1" applyAlignment="1" applyProtection="1">
      <alignment horizontal="left"/>
      <protection locked="0"/>
    </xf>
    <xf numFmtId="0" fontId="0" fillId="8" borderId="5" xfId="0" applyFill="1" applyBorder="1" applyAlignment="1" applyProtection="1">
      <alignment horizontal="left"/>
      <protection locked="0"/>
    </xf>
    <xf numFmtId="186" fontId="50" fillId="0" borderId="39" xfId="0" applyNumberFormat="1" applyFont="1" applyFill="1" applyBorder="1" applyAlignment="1" applyProtection="1">
      <alignment horizontal="center"/>
      <protection hidden="1"/>
    </xf>
    <xf numFmtId="186" fontId="50" fillId="0" borderId="42" xfId="0" applyNumberFormat="1" applyFont="1" applyFill="1" applyBorder="1" applyAlignment="1" applyProtection="1">
      <alignment horizontal="center"/>
      <protection hidden="1"/>
    </xf>
    <xf numFmtId="186" fontId="50" fillId="0" borderId="27" xfId="0" applyNumberFormat="1" applyFont="1" applyFill="1" applyBorder="1" applyAlignment="1" applyProtection="1">
      <alignment horizontal="center"/>
      <protection hidden="1"/>
    </xf>
    <xf numFmtId="186" fontId="50" fillId="0" borderId="76" xfId="0" applyNumberFormat="1" applyFont="1" applyFill="1" applyBorder="1" applyAlignment="1" applyProtection="1">
      <alignment horizontal="center"/>
      <protection hidden="1"/>
    </xf>
    <xf numFmtId="0" fontId="50" fillId="0" borderId="63" xfId="0" quotePrefix="1" applyFont="1" applyFill="1" applyBorder="1" applyAlignment="1" applyProtection="1">
      <alignment horizontal="left"/>
      <protection hidden="1"/>
    </xf>
    <xf numFmtId="0" fontId="50" fillId="0" borderId="65" xfId="0" quotePrefix="1" applyFont="1" applyFill="1" applyBorder="1" applyAlignment="1" applyProtection="1">
      <alignment horizontal="left"/>
      <protection hidden="1"/>
    </xf>
    <xf numFmtId="0" fontId="50" fillId="0" borderId="4" xfId="0" applyFont="1" applyFill="1" applyBorder="1" applyAlignment="1" applyProtection="1">
      <alignment horizontal="left" wrapText="1"/>
      <protection hidden="1"/>
    </xf>
    <xf numFmtId="0" fontId="50" fillId="0" borderId="5" xfId="0" applyFont="1" applyFill="1" applyBorder="1" applyAlignment="1" applyProtection="1">
      <alignment horizontal="left" wrapText="1"/>
      <protection hidden="1"/>
    </xf>
    <xf numFmtId="0" fontId="50" fillId="0" borderId="9" xfId="0" applyFont="1" applyFill="1" applyBorder="1" applyAlignment="1" applyProtection="1">
      <alignment horizontal="left" wrapText="1"/>
      <protection hidden="1"/>
    </xf>
    <xf numFmtId="0" fontId="65" fillId="48" borderId="21" xfId="0" applyFont="1" applyFill="1" applyBorder="1" applyAlignment="1" applyProtection="1">
      <alignment horizontal="left"/>
      <protection hidden="1"/>
    </xf>
    <xf numFmtId="0" fontId="65" fillId="48" borderId="22" xfId="0" applyFont="1" applyFill="1" applyBorder="1" applyAlignment="1" applyProtection="1">
      <alignment horizontal="left"/>
      <protection hidden="1"/>
    </xf>
    <xf numFmtId="0" fontId="65" fillId="48" borderId="77" xfId="0" applyFont="1" applyFill="1" applyBorder="1" applyAlignment="1" applyProtection="1">
      <alignment horizontal="left"/>
      <protection hidden="1"/>
    </xf>
    <xf numFmtId="0" fontId="65" fillId="48" borderId="48" xfId="0" quotePrefix="1" applyFont="1" applyFill="1" applyBorder="1" applyAlignment="1" applyProtection="1">
      <alignment horizontal="left"/>
      <protection hidden="1"/>
    </xf>
    <xf numFmtId="0" fontId="65" fillId="48" borderId="40" xfId="0" quotePrefix="1" applyFont="1" applyFill="1" applyBorder="1" applyAlignment="1" applyProtection="1">
      <alignment horizontal="left"/>
      <protection hidden="1"/>
    </xf>
    <xf numFmtId="0" fontId="65" fillId="48" borderId="41" xfId="0" quotePrefix="1" applyFont="1" applyFill="1" applyBorder="1" applyAlignment="1" applyProtection="1">
      <alignment horizontal="left"/>
      <protection hidden="1"/>
    </xf>
    <xf numFmtId="0" fontId="65" fillId="48" borderId="43" xfId="0" applyFont="1" applyFill="1" applyBorder="1" applyAlignment="1" applyProtection="1">
      <alignment horizontal="center"/>
      <protection hidden="1"/>
    </xf>
    <xf numFmtId="0" fontId="68" fillId="48" borderId="20" xfId="0" applyNumberFormat="1" applyFont="1" applyFill="1" applyBorder="1" applyAlignment="1" applyProtection="1">
      <alignment horizontal="center"/>
      <protection hidden="1"/>
    </xf>
    <xf numFmtId="0" fontId="68" fillId="48" borderId="0" xfId="0" applyNumberFormat="1" applyFont="1" applyFill="1" applyBorder="1" applyAlignment="1" applyProtection="1">
      <alignment horizontal="center"/>
      <protection hidden="1"/>
    </xf>
    <xf numFmtId="0" fontId="68" fillId="48" borderId="15" xfId="0" applyNumberFormat="1" applyFont="1" applyFill="1" applyBorder="1" applyAlignment="1" applyProtection="1">
      <alignment horizontal="center"/>
      <protection hidden="1"/>
    </xf>
    <xf numFmtId="187" fontId="67" fillId="48" borderId="18" xfId="0" quotePrefix="1" applyNumberFormat="1" applyFont="1" applyFill="1" applyBorder="1" applyAlignment="1" applyProtection="1">
      <alignment horizontal="right"/>
      <protection hidden="1"/>
    </xf>
    <xf numFmtId="0" fontId="68" fillId="46" borderId="20" xfId="0" applyNumberFormat="1" applyFont="1" applyFill="1" applyBorder="1" applyAlignment="1" applyProtection="1">
      <alignment horizontal="center"/>
      <protection hidden="1"/>
    </xf>
    <xf numFmtId="0" fontId="68" fillId="46" borderId="0" xfId="0" applyNumberFormat="1" applyFont="1" applyFill="1" applyBorder="1" applyAlignment="1" applyProtection="1">
      <alignment horizontal="center"/>
      <protection hidden="1"/>
    </xf>
    <xf numFmtId="0" fontId="68" fillId="46" borderId="15" xfId="0" applyNumberFormat="1" applyFont="1" applyFill="1" applyBorder="1" applyAlignment="1" applyProtection="1">
      <alignment horizontal="center"/>
      <protection hidden="1"/>
    </xf>
    <xf numFmtId="187" fontId="67" fillId="46" borderId="18" xfId="0" quotePrefix="1" applyNumberFormat="1" applyFont="1" applyFill="1" applyBorder="1" applyAlignment="1" applyProtection="1">
      <alignment horizontal="right"/>
      <protection hidden="1"/>
    </xf>
    <xf numFmtId="0" fontId="65" fillId="46" borderId="48" xfId="0" quotePrefix="1" applyFont="1" applyFill="1" applyBorder="1" applyAlignment="1" applyProtection="1">
      <alignment horizontal="left"/>
      <protection hidden="1"/>
    </xf>
    <xf numFmtId="0" fontId="65" fillId="46" borderId="40" xfId="0" quotePrefix="1" applyFont="1" applyFill="1" applyBorder="1" applyAlignment="1" applyProtection="1">
      <alignment horizontal="left"/>
      <protection hidden="1"/>
    </xf>
    <xf numFmtId="0" fontId="65" fillId="46" borderId="41" xfId="0" quotePrefix="1" applyFont="1" applyFill="1" applyBorder="1" applyAlignment="1" applyProtection="1">
      <alignment horizontal="left"/>
      <protection hidden="1"/>
    </xf>
    <xf numFmtId="0" fontId="65" fillId="46" borderId="43" xfId="0" applyFont="1" applyFill="1" applyBorder="1" applyAlignment="1" applyProtection="1">
      <alignment horizontal="center"/>
      <protection hidden="1"/>
    </xf>
    <xf numFmtId="0" fontId="65" fillId="46" borderId="21" xfId="0" applyFont="1" applyFill="1" applyBorder="1" applyAlignment="1" applyProtection="1">
      <alignment horizontal="left"/>
      <protection hidden="1"/>
    </xf>
    <xf numFmtId="0" fontId="65" fillId="46" borderId="22" xfId="0" applyFont="1" applyFill="1" applyBorder="1" applyAlignment="1" applyProtection="1">
      <alignment horizontal="left"/>
      <protection hidden="1"/>
    </xf>
    <xf numFmtId="0" fontId="65" fillId="46" borderId="77" xfId="0" applyFont="1" applyFill="1" applyBorder="1" applyAlignment="1" applyProtection="1">
      <alignment horizontal="left"/>
      <protection hidden="1"/>
    </xf>
    <xf numFmtId="191" fontId="92" fillId="0" borderId="37" xfId="0" applyNumberFormat="1" applyFont="1" applyFill="1" applyBorder="1" applyAlignment="1" applyProtection="1">
      <alignment horizontal="center"/>
      <protection hidden="1"/>
    </xf>
    <xf numFmtId="0" fontId="65" fillId="46" borderId="55" xfId="0" applyFont="1" applyFill="1" applyBorder="1" applyAlignment="1" applyProtection="1">
      <alignment horizontal="center"/>
      <protection hidden="1"/>
    </xf>
    <xf numFmtId="0" fontId="65" fillId="46" borderId="78" xfId="0" applyFont="1" applyFill="1" applyBorder="1" applyAlignment="1" applyProtection="1">
      <alignment horizontal="center"/>
      <protection hidden="1"/>
    </xf>
    <xf numFmtId="0" fontId="65" fillId="46" borderId="64" xfId="0" quotePrefix="1" applyFont="1" applyFill="1" applyBorder="1" applyAlignment="1" applyProtection="1">
      <alignment horizontal="center"/>
      <protection hidden="1"/>
    </xf>
    <xf numFmtId="0" fontId="65" fillId="46" borderId="79" xfId="0" quotePrefix="1" applyFont="1" applyFill="1" applyBorder="1" applyAlignment="1" applyProtection="1">
      <alignment horizontal="center"/>
      <protection hidden="1"/>
    </xf>
    <xf numFmtId="0" fontId="65" fillId="46" borderId="64" xfId="0" applyFont="1" applyFill="1" applyBorder="1" applyAlignment="1" applyProtection="1">
      <alignment horizontal="center"/>
      <protection hidden="1"/>
    </xf>
    <xf numFmtId="0" fontId="65" fillId="46" borderId="14" xfId="0" applyFont="1" applyFill="1" applyBorder="1" applyAlignment="1" applyProtection="1">
      <alignment horizontal="center"/>
      <protection hidden="1"/>
    </xf>
    <xf numFmtId="0" fontId="64" fillId="46" borderId="12" xfId="0" applyFont="1" applyFill="1" applyBorder="1" applyAlignment="1" applyProtection="1">
      <alignment horizontal="center" vertical="center" wrapText="1"/>
      <protection hidden="1"/>
    </xf>
    <xf numFmtId="0" fontId="64" fillId="46" borderId="13" xfId="0" applyFont="1" applyFill="1" applyBorder="1" applyAlignment="1" applyProtection="1">
      <alignment horizontal="center" vertical="center" wrapText="1"/>
      <protection hidden="1"/>
    </xf>
    <xf numFmtId="0" fontId="64" fillId="46" borderId="20" xfId="0" applyFont="1" applyFill="1" applyBorder="1" applyAlignment="1" applyProtection="1">
      <alignment horizontal="center" vertical="center" wrapText="1"/>
      <protection hidden="1"/>
    </xf>
    <xf numFmtId="0" fontId="64" fillId="46" borderId="0" xfId="0" applyFont="1" applyFill="1" applyBorder="1" applyAlignment="1" applyProtection="1">
      <alignment horizontal="center" vertical="center" wrapText="1"/>
      <protection hidden="1"/>
    </xf>
    <xf numFmtId="0" fontId="64" fillId="46" borderId="20" xfId="0" applyFont="1" applyFill="1" applyBorder="1" applyAlignment="1" applyProtection="1">
      <alignment horizontal="center" vertical="center"/>
      <protection hidden="1"/>
    </xf>
    <xf numFmtId="0" fontId="64" fillId="46" borderId="0" xfId="0" applyFont="1" applyFill="1" applyBorder="1" applyAlignment="1" applyProtection="1">
      <alignment horizontal="center" vertical="center"/>
      <protection hidden="1"/>
    </xf>
    <xf numFmtId="0" fontId="64" fillId="46" borderId="17" xfId="0" applyFont="1" applyFill="1" applyBorder="1" applyAlignment="1" applyProtection="1">
      <alignment horizontal="center" vertical="center"/>
      <protection hidden="1"/>
    </xf>
    <xf numFmtId="0" fontId="64" fillId="46" borderId="18" xfId="0" applyFont="1" applyFill="1" applyBorder="1" applyAlignment="1" applyProtection="1">
      <alignment horizontal="center" vertical="center"/>
      <protection hidden="1"/>
    </xf>
    <xf numFmtId="0" fontId="65" fillId="46" borderId="48" xfId="0" applyFont="1" applyFill="1" applyBorder="1" applyAlignment="1" applyProtection="1">
      <alignment horizontal="center"/>
      <protection hidden="1"/>
    </xf>
    <xf numFmtId="0" fontId="65" fillId="46" borderId="40" xfId="0" applyFont="1" applyFill="1" applyBorder="1" applyAlignment="1" applyProtection="1">
      <alignment horizontal="center"/>
      <protection hidden="1"/>
    </xf>
    <xf numFmtId="0" fontId="26" fillId="0" borderId="56" xfId="0" applyFont="1" applyBorder="1" applyAlignment="1" applyProtection="1">
      <alignment horizontal="center" vertical="center" wrapText="1"/>
    </xf>
    <xf numFmtId="0" fontId="26" fillId="0" borderId="43" xfId="0" applyFont="1" applyBorder="1" applyAlignment="1" applyProtection="1">
      <alignment horizontal="center" vertical="center" wrapText="1"/>
    </xf>
    <xf numFmtId="0" fontId="26" fillId="0" borderId="57" xfId="0" applyFont="1" applyBorder="1" applyAlignment="1" applyProtection="1">
      <alignment horizontal="center" vertical="center" wrapText="1"/>
    </xf>
    <xf numFmtId="0" fontId="26" fillId="0" borderId="60" xfId="0" applyFont="1" applyBorder="1" applyAlignment="1" applyProtection="1">
      <alignment horizontal="center" vertical="center" wrapText="1"/>
    </xf>
    <xf numFmtId="0" fontId="26" fillId="0" borderId="61" xfId="0" applyFont="1" applyBorder="1" applyAlignment="1" applyProtection="1">
      <alignment horizontal="center" vertical="center" wrapText="1"/>
    </xf>
    <xf numFmtId="0" fontId="26" fillId="0" borderId="62" xfId="0" applyFont="1" applyBorder="1" applyAlignment="1" applyProtection="1">
      <alignment horizontal="center" vertical="center" wrapText="1"/>
    </xf>
    <xf numFmtId="0" fontId="1" fillId="0" borderId="12" xfId="0" applyFont="1" applyFill="1" applyBorder="1" applyAlignment="1" applyProtection="1">
      <alignment horizontal="left" vertical="center" wrapText="1"/>
    </xf>
    <xf numFmtId="0" fontId="1" fillId="0" borderId="13" xfId="0" applyFont="1" applyFill="1" applyBorder="1" applyAlignment="1" applyProtection="1">
      <alignment horizontal="left" vertical="center" wrapText="1"/>
    </xf>
    <xf numFmtId="0" fontId="1" fillId="0" borderId="14" xfId="0" applyFont="1" applyFill="1" applyBorder="1" applyAlignment="1" applyProtection="1">
      <alignment horizontal="left" vertical="center" wrapText="1"/>
    </xf>
    <xf numFmtId="0" fontId="4" fillId="0" borderId="20" xfId="0" applyFont="1" applyFill="1" applyBorder="1" applyAlignment="1" applyProtection="1">
      <alignment horizontal="left" vertical="top" wrapText="1"/>
    </xf>
    <xf numFmtId="0" fontId="4" fillId="0" borderId="0" xfId="0" applyFont="1" applyFill="1" applyBorder="1" applyAlignment="1" applyProtection="1">
      <alignment horizontal="left" vertical="top" wrapText="1"/>
    </xf>
    <xf numFmtId="0" fontId="4" fillId="0" borderId="15" xfId="0" applyFont="1" applyFill="1" applyBorder="1" applyAlignment="1" applyProtection="1">
      <alignment horizontal="left" vertical="top" wrapText="1"/>
    </xf>
    <xf numFmtId="0" fontId="4" fillId="0" borderId="17" xfId="0" applyFont="1" applyFill="1" applyBorder="1" applyAlignment="1" applyProtection="1">
      <alignment horizontal="left" vertical="top" wrapText="1"/>
    </xf>
    <xf numFmtId="0" fontId="4" fillId="0" borderId="18" xfId="0" applyFont="1" applyFill="1" applyBorder="1" applyAlignment="1" applyProtection="1">
      <alignment horizontal="left" vertical="top" wrapText="1"/>
    </xf>
    <xf numFmtId="0" fontId="4" fillId="0" borderId="19" xfId="0" applyFont="1" applyFill="1" applyBorder="1" applyAlignment="1" applyProtection="1">
      <alignment horizontal="left" vertical="top" wrapText="1"/>
    </xf>
    <xf numFmtId="0" fontId="3" fillId="0" borderId="20" xfId="0" applyFont="1" applyFill="1" applyBorder="1" applyAlignment="1" applyProtection="1">
      <alignment horizontal="center" vertical="top" wrapText="1"/>
    </xf>
    <xf numFmtId="0" fontId="3" fillId="0" borderId="0" xfId="0" applyFont="1" applyFill="1" applyBorder="1" applyAlignment="1" applyProtection="1">
      <alignment horizontal="center" vertical="top" wrapText="1"/>
    </xf>
    <xf numFmtId="0" fontId="1" fillId="0" borderId="75" xfId="0" applyFont="1" applyFill="1" applyBorder="1" applyAlignment="1" applyProtection="1">
      <alignment horizontal="left" vertical="top" wrapText="1"/>
    </xf>
    <xf numFmtId="0" fontId="1" fillId="0" borderId="43" xfId="0" applyFont="1" applyFill="1" applyBorder="1" applyAlignment="1" applyProtection="1">
      <alignment horizontal="left" vertical="top" wrapText="1"/>
    </xf>
    <xf numFmtId="0" fontId="1" fillId="0" borderId="44" xfId="0" applyFont="1" applyFill="1" applyBorder="1" applyAlignment="1" applyProtection="1">
      <alignment horizontal="left" vertical="top" wrapText="1"/>
    </xf>
    <xf numFmtId="0" fontId="3" fillId="0" borderId="66" xfId="0" applyFont="1" applyFill="1" applyBorder="1" applyAlignment="1" applyProtection="1">
      <alignment horizontal="left" vertical="top" wrapText="1"/>
    </xf>
    <xf numFmtId="0" fontId="3" fillId="0" borderId="61" xfId="0" applyFont="1" applyFill="1" applyBorder="1" applyAlignment="1" applyProtection="1">
      <alignment horizontal="left" vertical="top" wrapText="1"/>
    </xf>
    <xf numFmtId="0" fontId="3" fillId="0" borderId="73" xfId="0" applyFont="1" applyFill="1" applyBorder="1" applyAlignment="1" applyProtection="1">
      <alignment horizontal="left" vertical="top" wrapText="1"/>
    </xf>
    <xf numFmtId="0" fontId="3" fillId="0" borderId="20" xfId="0" applyFont="1" applyFill="1" applyBorder="1" applyAlignment="1" applyProtection="1">
      <alignment horizontal="left" vertical="top" wrapText="1"/>
    </xf>
    <xf numFmtId="0" fontId="3" fillId="0" borderId="0" xfId="0" applyFont="1" applyFill="1" applyBorder="1" applyAlignment="1" applyProtection="1">
      <alignment horizontal="left" vertical="top" wrapText="1"/>
    </xf>
    <xf numFmtId="0" fontId="3" fillId="0" borderId="15" xfId="0" applyFont="1" applyFill="1" applyBorder="1" applyAlignment="1" applyProtection="1">
      <alignment horizontal="left" vertical="top" wrapText="1"/>
    </xf>
    <xf numFmtId="0" fontId="1" fillId="0" borderId="75" xfId="0" applyFont="1" applyFill="1" applyBorder="1" applyAlignment="1" applyProtection="1">
      <alignment horizontal="left"/>
    </xf>
    <xf numFmtId="0" fontId="1" fillId="0" borderId="43" xfId="0" applyFont="1" applyFill="1" applyBorder="1" applyAlignment="1" applyProtection="1">
      <alignment horizontal="left"/>
    </xf>
    <xf numFmtId="0" fontId="1" fillId="0" borderId="44" xfId="0" applyFont="1" applyFill="1" applyBorder="1" applyAlignment="1" applyProtection="1">
      <alignment horizontal="left"/>
    </xf>
    <xf numFmtId="0" fontId="4" fillId="0" borderId="66" xfId="0" applyFont="1" applyFill="1" applyBorder="1" applyAlignment="1" applyProtection="1">
      <alignment horizontal="left" vertical="top" wrapText="1"/>
    </xf>
    <xf numFmtId="0" fontId="4" fillId="0" borderId="61" xfId="0" applyFont="1" applyFill="1" applyBorder="1" applyAlignment="1" applyProtection="1">
      <alignment horizontal="left" vertical="top" wrapText="1"/>
    </xf>
    <xf numFmtId="0" fontId="4" fillId="0" borderId="73" xfId="0" applyFont="1" applyFill="1" applyBorder="1" applyAlignment="1" applyProtection="1">
      <alignment horizontal="left" vertical="top" wrapText="1"/>
    </xf>
    <xf numFmtId="0" fontId="1" fillId="0" borderId="12" xfId="0" applyFont="1" applyFill="1" applyBorder="1" applyAlignment="1" applyProtection="1">
      <alignment horizontal="left" vertical="top" wrapText="1"/>
    </xf>
    <xf numFmtId="0" fontId="1" fillId="0" borderId="13" xfId="0" applyFont="1" applyFill="1" applyBorder="1" applyAlignment="1" applyProtection="1">
      <alignment horizontal="left" vertical="top" wrapText="1"/>
    </xf>
    <xf numFmtId="0" fontId="1" fillId="0" borderId="14" xfId="0" applyFont="1" applyFill="1" applyBorder="1" applyAlignment="1" applyProtection="1">
      <alignment horizontal="left" vertical="top" wrapText="1"/>
    </xf>
    <xf numFmtId="0" fontId="3" fillId="0" borderId="17" xfId="0" applyFont="1" applyFill="1" applyBorder="1" applyAlignment="1" applyProtection="1">
      <alignment horizontal="left" vertical="top" wrapText="1"/>
    </xf>
    <xf numFmtId="0" fontId="3" fillId="0" borderId="18" xfId="0" applyFont="1" applyFill="1" applyBorder="1" applyAlignment="1" applyProtection="1">
      <alignment horizontal="left" vertical="top" wrapText="1"/>
    </xf>
    <xf numFmtId="0" fontId="3" fillId="0" borderId="19" xfId="0" applyFont="1" applyFill="1" applyBorder="1" applyAlignment="1" applyProtection="1">
      <alignment horizontal="left" vertical="top" wrapText="1"/>
    </xf>
    <xf numFmtId="0" fontId="3" fillId="0" borderId="20" xfId="0" applyFont="1" applyFill="1" applyBorder="1" applyAlignment="1" applyProtection="1">
      <alignment horizontal="left"/>
    </xf>
    <xf numFmtId="0" fontId="3" fillId="0" borderId="0" xfId="0" applyFont="1" applyFill="1" applyBorder="1" applyAlignment="1" applyProtection="1">
      <alignment horizontal="left"/>
    </xf>
    <xf numFmtId="0" fontId="3" fillId="0" borderId="15" xfId="0" applyFont="1" applyFill="1" applyBorder="1" applyAlignment="1" applyProtection="1">
      <alignment horizontal="left"/>
    </xf>
    <xf numFmtId="0" fontId="58" fillId="0" borderId="17" xfId="0" applyFont="1" applyFill="1" applyBorder="1" applyAlignment="1" applyProtection="1">
      <alignment horizontal="left" wrapText="1"/>
    </xf>
    <xf numFmtId="0" fontId="58" fillId="0" borderId="18" xfId="0" applyFont="1" applyFill="1" applyBorder="1" applyAlignment="1" applyProtection="1">
      <alignment horizontal="left" wrapText="1"/>
    </xf>
    <xf numFmtId="0" fontId="58" fillId="0" borderId="19" xfId="0" applyFont="1" applyFill="1" applyBorder="1" applyAlignment="1" applyProtection="1">
      <alignment horizontal="left" wrapText="1"/>
    </xf>
    <xf numFmtId="0" fontId="1" fillId="0" borderId="21" xfId="0" applyFont="1" applyFill="1" applyBorder="1" applyAlignment="1" applyProtection="1">
      <alignment horizontal="left" vertical="top" wrapText="1"/>
    </xf>
    <xf numFmtId="0" fontId="1" fillId="0" borderId="22" xfId="0" applyFont="1" applyFill="1" applyBorder="1" applyAlignment="1" applyProtection="1">
      <alignment horizontal="left" vertical="top" wrapText="1"/>
    </xf>
    <xf numFmtId="0" fontId="1" fillId="0" borderId="24" xfId="0" applyFont="1" applyFill="1" applyBorder="1" applyAlignment="1" applyProtection="1">
      <alignment horizontal="left" vertical="top" wrapText="1"/>
    </xf>
    <xf numFmtId="0" fontId="3" fillId="0" borderId="7" xfId="0" applyFont="1" applyBorder="1" applyAlignment="1" applyProtection="1">
      <alignment horizontal="left" vertical="center" wrapText="1"/>
    </xf>
    <xf numFmtId="0" fontId="3" fillId="0" borderId="72" xfId="0" applyFont="1" applyBorder="1" applyAlignment="1" applyProtection="1">
      <alignment horizontal="left" vertical="center" wrapText="1"/>
    </xf>
    <xf numFmtId="0" fontId="3" fillId="0" borderId="5" xfId="0" applyFont="1" applyBorder="1" applyAlignment="1" applyProtection="1">
      <alignment horizontal="left"/>
    </xf>
    <xf numFmtId="0" fontId="3" fillId="0" borderId="9" xfId="0" applyFont="1" applyBorder="1" applyAlignment="1" applyProtection="1">
      <alignment horizontal="left"/>
    </xf>
    <xf numFmtId="0" fontId="1" fillId="2" borderId="49" xfId="0" applyFont="1" applyFill="1" applyBorder="1" applyAlignment="1" applyProtection="1">
      <alignment horizontal="center"/>
    </xf>
    <xf numFmtId="0" fontId="1" fillId="2" borderId="50" xfId="0" applyFont="1" applyFill="1" applyBorder="1" applyAlignment="1" applyProtection="1">
      <alignment horizontal="center"/>
    </xf>
    <xf numFmtId="0" fontId="1" fillId="2" borderId="51" xfId="0" applyFont="1" applyFill="1" applyBorder="1" applyAlignment="1" applyProtection="1">
      <alignment horizontal="center"/>
    </xf>
    <xf numFmtId="0" fontId="3" fillId="0" borderId="60" xfId="0" applyFont="1" applyBorder="1" applyAlignment="1" applyProtection="1">
      <alignment horizontal="left"/>
    </xf>
    <xf numFmtId="0" fontId="3" fillId="0" borderId="61" xfId="0" applyFont="1" applyBorder="1" applyAlignment="1" applyProtection="1">
      <alignment horizontal="left"/>
    </xf>
    <xf numFmtId="0" fontId="3" fillId="0" borderId="73" xfId="0" applyFont="1" applyBorder="1" applyAlignment="1" applyProtection="1">
      <alignment horizontal="left"/>
    </xf>
    <xf numFmtId="0" fontId="1" fillId="0" borderId="48" xfId="0" applyFont="1" applyBorder="1" applyAlignment="1" applyProtection="1">
      <alignment horizontal="left"/>
    </xf>
    <xf numFmtId="0" fontId="1" fillId="0" borderId="40" xfId="0" applyFont="1" applyBorder="1" applyAlignment="1" applyProtection="1">
      <alignment horizontal="left"/>
    </xf>
    <xf numFmtId="0" fontId="4" fillId="0" borderId="34" xfId="0" applyFont="1" applyBorder="1" applyAlignment="1" applyProtection="1">
      <alignment horizontal="left"/>
    </xf>
    <xf numFmtId="0" fontId="4" fillId="0" borderId="37" xfId="0" applyFont="1" applyBorder="1" applyAlignment="1" applyProtection="1">
      <alignment horizontal="left"/>
    </xf>
    <xf numFmtId="0" fontId="4" fillId="0" borderId="4" xfId="0" applyFont="1" applyFill="1" applyBorder="1" applyAlignment="1" applyProtection="1">
      <alignment horizontal="left" vertical="top"/>
    </xf>
    <xf numFmtId="0" fontId="4" fillId="0" borderId="5" xfId="0" applyFont="1" applyFill="1" applyBorder="1" applyAlignment="1" applyProtection="1">
      <alignment horizontal="left" vertical="top"/>
    </xf>
    <xf numFmtId="0" fontId="4" fillId="0" borderId="39" xfId="0" applyFont="1" applyFill="1" applyBorder="1" applyAlignment="1" applyProtection="1">
      <alignment horizontal="left" vertical="top"/>
    </xf>
    <xf numFmtId="0" fontId="4" fillId="0" borderId="75" xfId="0" applyFont="1" applyBorder="1" applyAlignment="1" applyProtection="1">
      <alignment horizontal="left"/>
    </xf>
    <xf numFmtId="0" fontId="4" fillId="0" borderId="43" xfId="0" applyFont="1" applyBorder="1" applyAlignment="1" applyProtection="1">
      <alignment horizontal="left"/>
    </xf>
    <xf numFmtId="0" fontId="4" fillId="0" borderId="63" xfId="0" applyFont="1" applyFill="1" applyBorder="1" applyAlignment="1" applyProtection="1">
      <alignment horizontal="left" vertical="top"/>
    </xf>
    <xf numFmtId="0" fontId="4" fillId="0" borderId="65" xfId="0" applyFont="1" applyFill="1" applyBorder="1" applyAlignment="1" applyProtection="1">
      <alignment horizontal="left" vertical="top"/>
    </xf>
    <xf numFmtId="0" fontId="1" fillId="2" borderId="3" xfId="0" applyFont="1" applyFill="1" applyBorder="1" applyAlignment="1" applyProtection="1">
      <alignment horizontal="center"/>
    </xf>
    <xf numFmtId="0" fontId="1" fillId="2" borderId="36" xfId="0" applyFont="1" applyFill="1" applyBorder="1" applyAlignment="1" applyProtection="1">
      <alignment horizontal="center"/>
    </xf>
    <xf numFmtId="0" fontId="3" fillId="8" borderId="5" xfId="0" applyFont="1" applyFill="1" applyBorder="1" applyAlignment="1" applyProtection="1">
      <alignment horizontal="center"/>
    </xf>
    <xf numFmtId="0" fontId="3" fillId="8" borderId="9" xfId="0" applyFont="1" applyFill="1" applyBorder="1" applyAlignment="1" applyProtection="1">
      <alignment horizontal="center"/>
    </xf>
    <xf numFmtId="0" fontId="1" fillId="2" borderId="7" xfId="0" applyFont="1" applyFill="1" applyBorder="1" applyAlignment="1" applyProtection="1">
      <alignment horizontal="center"/>
    </xf>
    <xf numFmtId="0" fontId="1" fillId="2" borderId="72" xfId="0" applyFont="1" applyFill="1" applyBorder="1" applyAlignment="1" applyProtection="1">
      <alignment horizontal="center"/>
    </xf>
    <xf numFmtId="0" fontId="1" fillId="2" borderId="21" xfId="0" applyFont="1" applyFill="1" applyBorder="1" applyAlignment="1" applyProtection="1">
      <alignment horizontal="center"/>
    </xf>
    <xf numFmtId="0" fontId="1" fillId="2" borderId="22" xfId="0" applyFont="1" applyFill="1" applyBorder="1" applyAlignment="1" applyProtection="1">
      <alignment horizontal="center"/>
    </xf>
    <xf numFmtId="0" fontId="1" fillId="2" borderId="24" xfId="0" applyFont="1" applyFill="1" applyBorder="1" applyAlignment="1" applyProtection="1">
      <alignment horizontal="center"/>
    </xf>
    <xf numFmtId="0" fontId="11" fillId="2" borderId="12" xfId="0" applyFont="1" applyFill="1" applyBorder="1" applyAlignment="1" applyProtection="1">
      <alignment horizontal="center"/>
    </xf>
    <xf numFmtId="0" fontId="11" fillId="2" borderId="13" xfId="0" applyFont="1" applyFill="1" applyBorder="1" applyAlignment="1" applyProtection="1">
      <alignment horizontal="center"/>
    </xf>
    <xf numFmtId="0" fontId="11" fillId="2" borderId="14" xfId="0" applyFont="1" applyFill="1" applyBorder="1" applyAlignment="1" applyProtection="1">
      <alignment horizontal="center"/>
    </xf>
    <xf numFmtId="0" fontId="1" fillId="2" borderId="2" xfId="0" applyFont="1" applyFill="1" applyBorder="1" applyAlignment="1" applyProtection="1">
      <alignment horizontal="left" vertical="center"/>
    </xf>
    <xf numFmtId="0" fontId="1" fillId="2" borderId="6" xfId="0" applyFont="1" applyFill="1" applyBorder="1" applyAlignment="1" applyProtection="1">
      <alignment horizontal="left" vertical="center"/>
    </xf>
    <xf numFmtId="0" fontId="3" fillId="8" borderId="7" xfId="0" applyFont="1" applyFill="1" applyBorder="1" applyAlignment="1" applyProtection="1">
      <alignment horizontal="center"/>
    </xf>
    <xf numFmtId="0" fontId="3" fillId="8" borderId="72" xfId="0" applyFont="1" applyFill="1" applyBorder="1" applyAlignment="1" applyProtection="1">
      <alignment horizontal="center"/>
    </xf>
    <xf numFmtId="166" fontId="2" fillId="2" borderId="10" xfId="28" applyNumberFormat="1" applyFont="1" applyFill="1" applyBorder="1" applyAlignment="1">
      <alignment horizontal="center" vertical="top"/>
    </xf>
    <xf numFmtId="166" fontId="2" fillId="2" borderId="8" xfId="28" applyNumberFormat="1" applyFont="1" applyFill="1" applyBorder="1" applyAlignment="1">
      <alignment horizontal="center" vertical="top"/>
    </xf>
    <xf numFmtId="166" fontId="2" fillId="2" borderId="11" xfId="28" applyNumberFormat="1" applyFont="1" applyFill="1" applyBorder="1" applyAlignment="1">
      <alignment horizontal="center" vertical="top"/>
    </xf>
    <xf numFmtId="166" fontId="2" fillId="2" borderId="85" xfId="28" applyNumberFormat="1" applyFont="1" applyFill="1" applyBorder="1" applyAlignment="1">
      <alignment horizontal="center" vertical="top"/>
    </xf>
    <xf numFmtId="0" fontId="41" fillId="2" borderId="89" xfId="26" applyFont="1" applyFill="1" applyBorder="1" applyAlignment="1">
      <alignment horizontal="center" vertical="top" wrapText="1"/>
    </xf>
    <xf numFmtId="0" fontId="41" fillId="2" borderId="77" xfId="26" applyFont="1" applyFill="1" applyBorder="1" applyAlignment="1">
      <alignment horizontal="center" vertical="top" wrapText="1"/>
    </xf>
    <xf numFmtId="166" fontId="2" fillId="2" borderId="90" xfId="28" applyNumberFormat="1" applyFont="1" applyFill="1" applyBorder="1" applyAlignment="1">
      <alignment horizontal="center" vertical="top"/>
    </xf>
    <xf numFmtId="166" fontId="2" fillId="2" borderId="91" xfId="28" applyNumberFormat="1" applyFont="1" applyFill="1" applyBorder="1" applyAlignment="1">
      <alignment horizontal="center" vertical="top"/>
    </xf>
    <xf numFmtId="166" fontId="2" fillId="38" borderId="115" xfId="28" applyNumberFormat="1" applyFont="1" applyAlignment="1" applyProtection="1">
      <alignment horizontal="center" vertical="top"/>
      <protection locked="0"/>
    </xf>
    <xf numFmtId="166" fontId="2" fillId="38" borderId="81" xfId="28" applyNumberFormat="1" applyFont="1" applyBorder="1" applyAlignment="1" applyProtection="1">
      <alignment horizontal="center" vertical="top"/>
      <protection locked="0"/>
    </xf>
    <xf numFmtId="0" fontId="2" fillId="38" borderId="115" xfId="28" applyFont="1" applyAlignment="1" applyProtection="1">
      <alignment vertical="top"/>
      <protection locked="0"/>
    </xf>
    <xf numFmtId="0" fontId="2" fillId="38" borderId="81" xfId="28" applyFont="1" applyBorder="1" applyAlignment="1" applyProtection="1">
      <alignment vertical="top"/>
      <protection locked="0"/>
    </xf>
    <xf numFmtId="0" fontId="2" fillId="38" borderId="86" xfId="28" applyFont="1" applyBorder="1" applyAlignment="1" applyProtection="1">
      <alignment vertical="top"/>
      <protection locked="0"/>
    </xf>
    <xf numFmtId="2" fontId="30" fillId="2" borderId="34" xfId="26" applyNumberFormat="1" applyFont="1" applyFill="1" applyBorder="1" applyAlignment="1">
      <alignment horizontal="center" vertical="center"/>
    </xf>
    <xf numFmtId="2" fontId="30" fillId="2" borderId="42" xfId="26" applyNumberFormat="1" applyFont="1" applyFill="1" applyBorder="1" applyAlignment="1">
      <alignment horizontal="center" vertical="center"/>
    </xf>
    <xf numFmtId="172" fontId="30" fillId="2" borderId="34" xfId="26" applyNumberFormat="1" applyFont="1" applyFill="1" applyBorder="1" applyAlignment="1">
      <alignment horizontal="center" vertical="center" wrapText="1"/>
    </xf>
    <xf numFmtId="172" fontId="30" fillId="2" borderId="42" xfId="26" applyNumberFormat="1" applyFont="1" applyFill="1" applyBorder="1" applyAlignment="1">
      <alignment horizontal="center" vertical="center" wrapText="1"/>
    </xf>
    <xf numFmtId="0" fontId="5" fillId="7" borderId="21" xfId="0" applyFont="1" applyFill="1" applyBorder="1" applyAlignment="1">
      <alignment horizontal="center" vertical="center"/>
    </xf>
    <xf numFmtId="0" fontId="5" fillId="7" borderId="22" xfId="0" applyFont="1" applyFill="1" applyBorder="1" applyAlignment="1">
      <alignment horizontal="center" vertical="center"/>
    </xf>
    <xf numFmtId="0" fontId="5" fillId="7" borderId="24" xfId="0" applyFont="1" applyFill="1" applyBorder="1" applyAlignment="1">
      <alignment horizontal="center" vertical="center"/>
    </xf>
    <xf numFmtId="0" fontId="5" fillId="2" borderId="21" xfId="0" applyFont="1" applyFill="1" applyBorder="1" applyAlignment="1">
      <alignment horizontal="center" vertical="top"/>
    </xf>
    <xf numFmtId="0" fontId="5" fillId="2" borderId="22" xfId="0" applyFont="1" applyFill="1" applyBorder="1" applyAlignment="1">
      <alignment horizontal="center" vertical="top"/>
    </xf>
    <xf numFmtId="0" fontId="5" fillId="2" borderId="24" xfId="0" applyFont="1" applyFill="1" applyBorder="1" applyAlignment="1">
      <alignment horizontal="center" vertical="top"/>
    </xf>
    <xf numFmtId="0" fontId="2" fillId="2" borderId="34" xfId="0" applyFont="1" applyFill="1" applyBorder="1" applyAlignment="1">
      <alignment horizontal="center" vertical="center"/>
    </xf>
    <xf numFmtId="0" fontId="2" fillId="2" borderId="42" xfId="0" applyFont="1" applyFill="1" applyBorder="1" applyAlignment="1">
      <alignment horizontal="center" vertical="center"/>
    </xf>
    <xf numFmtId="0" fontId="2" fillId="2" borderId="63" xfId="0" applyFont="1" applyFill="1" applyBorder="1" applyAlignment="1">
      <alignment horizontal="center" vertical="center"/>
    </xf>
    <xf numFmtId="0" fontId="2" fillId="2" borderId="76" xfId="0" applyFont="1" applyFill="1" applyBorder="1" applyAlignment="1">
      <alignment horizontal="center" vertical="center"/>
    </xf>
    <xf numFmtId="0" fontId="3" fillId="2" borderId="2" xfId="0" applyFont="1" applyFill="1" applyBorder="1" applyAlignment="1">
      <alignment horizontal="left"/>
    </xf>
    <xf numFmtId="0" fontId="3" fillId="2" borderId="3" xfId="0" applyFont="1" applyFill="1" applyBorder="1" applyAlignment="1">
      <alignment horizontal="left"/>
    </xf>
    <xf numFmtId="0" fontId="3" fillId="2" borderId="4" xfId="0" applyFont="1" applyFill="1" applyBorder="1" applyAlignment="1">
      <alignment horizontal="left"/>
    </xf>
    <xf numFmtId="0" fontId="3" fillId="2" borderId="5" xfId="0" applyFont="1" applyFill="1" applyBorder="1" applyAlignment="1">
      <alignment horizontal="left"/>
    </xf>
    <xf numFmtId="0" fontId="3" fillId="2" borderId="6" xfId="0" applyFont="1" applyFill="1" applyBorder="1" applyAlignment="1">
      <alignment horizontal="left"/>
    </xf>
    <xf numFmtId="0" fontId="3" fillId="2" borderId="7" xfId="0" applyFont="1" applyFill="1" applyBorder="1" applyAlignment="1">
      <alignment horizontal="left"/>
    </xf>
    <xf numFmtId="49" fontId="3" fillId="2" borderId="3" xfId="0" applyNumberFormat="1" applyFont="1" applyFill="1" applyBorder="1" applyAlignment="1">
      <alignment horizontal="left"/>
    </xf>
    <xf numFmtId="49" fontId="3" fillId="2" borderId="36" xfId="0" applyNumberFormat="1" applyFont="1" applyFill="1" applyBorder="1" applyAlignment="1">
      <alignment horizontal="left"/>
    </xf>
    <xf numFmtId="49" fontId="3" fillId="2" borderId="5" xfId="0" applyNumberFormat="1" applyFont="1" applyFill="1" applyBorder="1" applyAlignment="1">
      <alignment horizontal="left"/>
    </xf>
    <xf numFmtId="49" fontId="3" fillId="2" borderId="9" xfId="0" applyNumberFormat="1" applyFont="1" applyFill="1" applyBorder="1" applyAlignment="1">
      <alignment horizontal="left"/>
    </xf>
    <xf numFmtId="49" fontId="3" fillId="2" borderId="7" xfId="0" applyNumberFormat="1" applyFont="1" applyFill="1" applyBorder="1" applyAlignment="1">
      <alignment horizontal="left"/>
    </xf>
    <xf numFmtId="49" fontId="3" fillId="2" borderId="72" xfId="0" applyNumberFormat="1" applyFont="1" applyFill="1" applyBorder="1" applyAlignment="1">
      <alignment horizontal="left"/>
    </xf>
    <xf numFmtId="0" fontId="1" fillId="7" borderId="21" xfId="0" applyFont="1" applyFill="1" applyBorder="1" applyAlignment="1">
      <alignment horizontal="center" vertical="center"/>
    </xf>
    <xf numFmtId="0" fontId="1" fillId="7" borderId="22" xfId="0" applyFont="1" applyFill="1" applyBorder="1" applyAlignment="1">
      <alignment horizontal="center" vertical="center"/>
    </xf>
    <xf numFmtId="0" fontId="1" fillId="7" borderId="24" xfId="0" applyFont="1" applyFill="1" applyBorder="1" applyAlignment="1">
      <alignment horizontal="center" vertical="center"/>
    </xf>
    <xf numFmtId="0" fontId="5" fillId="2" borderId="21" xfId="0" applyFont="1" applyFill="1" applyBorder="1" applyAlignment="1">
      <alignment horizontal="center" vertical="center"/>
    </xf>
    <xf numFmtId="0" fontId="5" fillId="2" borderId="22" xfId="0" applyFont="1" applyFill="1" applyBorder="1" applyAlignment="1">
      <alignment horizontal="center" vertical="center"/>
    </xf>
    <xf numFmtId="0" fontId="5" fillId="2" borderId="24" xfId="0" applyFont="1" applyFill="1" applyBorder="1" applyAlignment="1">
      <alignment horizontal="center" vertical="center"/>
    </xf>
    <xf numFmtId="165" fontId="2" fillId="38" borderId="39" xfId="28" applyNumberFormat="1" applyFont="1" applyBorder="1" applyAlignment="1" applyProtection="1">
      <alignment horizontal="center" vertical="top"/>
      <protection locked="0"/>
    </xf>
    <xf numFmtId="165" fontId="2" fillId="38" borderId="42" xfId="28" applyNumberFormat="1" applyFont="1" applyBorder="1" applyAlignment="1" applyProtection="1">
      <alignment horizontal="center" vertical="top"/>
      <protection locked="0"/>
    </xf>
    <xf numFmtId="166" fontId="2" fillId="38" borderId="39" xfId="28" applyNumberFormat="1" applyFont="1" applyBorder="1" applyAlignment="1" applyProtection="1">
      <alignment horizontal="center"/>
      <protection locked="0"/>
    </xf>
    <xf numFmtId="166" fontId="2" fillId="38" borderId="42" xfId="28" applyNumberFormat="1" applyFont="1" applyBorder="1" applyAlignment="1" applyProtection="1">
      <alignment horizontal="center"/>
      <protection locked="0"/>
    </xf>
    <xf numFmtId="0" fontId="2" fillId="2" borderId="87" xfId="28" applyFont="1" applyFill="1" applyBorder="1" applyAlignment="1">
      <alignment horizontal="left" vertical="top" wrapText="1"/>
    </xf>
    <xf numFmtId="0" fontId="2" fillId="2" borderId="88" xfId="28" applyFont="1" applyFill="1" applyBorder="1" applyAlignment="1">
      <alignment horizontal="left" vertical="top" wrapText="1"/>
    </xf>
    <xf numFmtId="0" fontId="30" fillId="2" borderId="33" xfId="26" applyFont="1" applyFill="1" applyBorder="1" applyAlignment="1">
      <alignment horizontal="center" vertical="center" wrapText="1"/>
    </xf>
    <xf numFmtId="0" fontId="41" fillId="2" borderId="24" xfId="26" applyFont="1" applyFill="1" applyBorder="1" applyAlignment="1">
      <alignment horizontal="center" vertical="center" wrapText="1"/>
    </xf>
    <xf numFmtId="0" fontId="41" fillId="2" borderId="33" xfId="26" applyFont="1" applyFill="1" applyBorder="1" applyAlignment="1">
      <alignment horizontal="center" vertical="center" wrapText="1"/>
    </xf>
    <xf numFmtId="0" fontId="41" fillId="2" borderId="77" xfId="26" applyFont="1" applyFill="1" applyBorder="1" applyAlignment="1">
      <alignment horizontal="center" vertical="center" wrapText="1"/>
    </xf>
    <xf numFmtId="0" fontId="2" fillId="38" borderId="115" xfId="28" applyFont="1" applyAlignment="1" applyProtection="1">
      <alignment horizontal="left" vertical="top"/>
      <protection locked="0"/>
    </xf>
    <xf numFmtId="0" fontId="5" fillId="0" borderId="18" xfId="0" applyFont="1" applyFill="1" applyBorder="1" applyAlignment="1">
      <alignment horizontal="center" vertical="top"/>
    </xf>
    <xf numFmtId="0" fontId="5" fillId="0" borderId="0" xfId="0" applyFont="1" applyFill="1" applyBorder="1" applyAlignment="1">
      <alignment horizontal="center" vertical="center" wrapText="1"/>
    </xf>
    <xf numFmtId="0" fontId="24" fillId="2" borderId="34" xfId="0" applyFont="1" applyFill="1" applyBorder="1" applyAlignment="1">
      <alignment horizontal="center" vertical="center" wrapText="1"/>
    </xf>
    <xf numFmtId="0" fontId="24" fillId="2" borderId="42" xfId="0" applyFont="1" applyFill="1" applyBorder="1" applyAlignment="1">
      <alignment horizontal="center" vertical="center" wrapText="1"/>
    </xf>
    <xf numFmtId="0" fontId="24" fillId="2" borderId="34" xfId="0" applyFont="1" applyFill="1" applyBorder="1" applyAlignment="1">
      <alignment horizontal="center"/>
    </xf>
    <xf numFmtId="0" fontId="24" fillId="2" borderId="42" xfId="0" applyFont="1" applyFill="1" applyBorder="1" applyAlignment="1">
      <alignment horizontal="center"/>
    </xf>
    <xf numFmtId="177" fontId="30" fillId="2" borderId="34" xfId="26" applyNumberFormat="1" applyFont="1" applyFill="1" applyBorder="1" applyAlignment="1">
      <alignment horizontal="center" vertical="center"/>
    </xf>
    <xf numFmtId="177" fontId="30" fillId="2" borderId="42" xfId="26" applyNumberFormat="1" applyFont="1" applyFill="1" applyBorder="1" applyAlignment="1">
      <alignment horizontal="center" vertical="center"/>
    </xf>
    <xf numFmtId="0" fontId="16" fillId="2" borderId="34" xfId="26" applyFont="1" applyFill="1" applyBorder="1" applyAlignment="1">
      <alignment horizontal="left" vertical="center" wrapText="1"/>
    </xf>
    <xf numFmtId="0" fontId="16" fillId="2" borderId="38" xfId="26" applyFont="1" applyFill="1" applyBorder="1" applyAlignment="1">
      <alignment horizontal="left" vertical="center" wrapText="1"/>
    </xf>
    <xf numFmtId="182" fontId="41" fillId="2" borderId="39" xfId="26" applyNumberFormat="1" applyFont="1" applyFill="1" applyBorder="1" applyAlignment="1">
      <alignment horizontal="center" vertical="center"/>
    </xf>
    <xf numFmtId="182" fontId="41" fillId="2" borderId="37" xfId="26" applyNumberFormat="1" applyFont="1" applyFill="1" applyBorder="1" applyAlignment="1">
      <alignment horizontal="center" vertical="center"/>
    </xf>
    <xf numFmtId="182" fontId="41" fillId="2" borderId="42" xfId="26" applyNumberFormat="1" applyFont="1" applyFill="1" applyBorder="1" applyAlignment="1">
      <alignment horizontal="center" vertical="center"/>
    </xf>
    <xf numFmtId="180" fontId="30" fillId="2" borderId="34" xfId="26" applyNumberFormat="1" applyFont="1" applyFill="1" applyBorder="1" applyAlignment="1">
      <alignment horizontal="center" vertical="center"/>
    </xf>
    <xf numFmtId="180" fontId="30" fillId="2" borderId="42" xfId="26" applyNumberFormat="1" applyFont="1" applyFill="1" applyBorder="1" applyAlignment="1">
      <alignment horizontal="center" vertical="center"/>
    </xf>
    <xf numFmtId="0" fontId="2" fillId="2" borderId="34" xfId="0" applyFont="1" applyFill="1" applyBorder="1" applyAlignment="1">
      <alignment horizontal="center"/>
    </xf>
    <xf numFmtId="0" fontId="2" fillId="2" borderId="42" xfId="0" applyFont="1" applyFill="1" applyBorder="1" applyAlignment="1">
      <alignment horizontal="center"/>
    </xf>
    <xf numFmtId="182" fontId="0" fillId="2" borderId="37" xfId="0" applyNumberFormat="1" applyFill="1" applyBorder="1"/>
    <xf numFmtId="182" fontId="0" fillId="2" borderId="42" xfId="0" applyNumberFormat="1" applyFill="1" applyBorder="1"/>
    <xf numFmtId="0" fontId="43" fillId="2" borderId="34" xfId="26" applyFont="1" applyFill="1" applyBorder="1" applyAlignment="1">
      <alignment horizontal="left" vertical="center" wrapText="1"/>
    </xf>
    <xf numFmtId="0" fontId="43" fillId="2" borderId="42" xfId="26" applyFont="1" applyFill="1" applyBorder="1" applyAlignment="1">
      <alignment horizontal="left" vertical="center" wrapText="1"/>
    </xf>
    <xf numFmtId="167" fontId="41" fillId="2" borderId="55" xfId="26" applyNumberFormat="1" applyFont="1" applyFill="1" applyBorder="1" applyAlignment="1">
      <alignment horizontal="center" vertical="center"/>
    </xf>
    <xf numFmtId="0" fontId="0" fillId="2" borderId="40" xfId="0" applyFill="1" applyBorder="1"/>
    <xf numFmtId="0" fontId="0" fillId="2" borderId="41" xfId="0" applyFill="1" applyBorder="1"/>
    <xf numFmtId="0" fontId="43" fillId="2" borderId="63" xfId="26" applyFont="1" applyFill="1" applyBorder="1" applyAlignment="1">
      <alignment horizontal="left" vertical="center" wrapText="1"/>
    </xf>
    <xf numFmtId="0" fontId="43" fillId="2" borderId="76" xfId="26" applyFont="1" applyFill="1" applyBorder="1" applyAlignment="1">
      <alignment horizontal="left" vertical="center" wrapText="1"/>
    </xf>
    <xf numFmtId="0" fontId="3" fillId="0" borderId="0" xfId="0" applyFont="1" applyAlignment="1">
      <alignment horizontal="left" wrapText="1"/>
    </xf>
    <xf numFmtId="0" fontId="3" fillId="0" borderId="0" xfId="0" applyFont="1" applyAlignment="1">
      <alignment horizontal="left"/>
    </xf>
    <xf numFmtId="0" fontId="3" fillId="0" borderId="0" xfId="0" applyFont="1" applyAlignment="1">
      <alignment horizontal="left" vertical="top" wrapText="1"/>
    </xf>
    <xf numFmtId="0" fontId="0" fillId="0" borderId="0" xfId="0" applyAlignment="1">
      <alignment horizontal="left" vertical="top" wrapText="1"/>
    </xf>
    <xf numFmtId="179" fontId="43" fillId="2" borderId="56" xfId="26" applyNumberFormat="1" applyFont="1" applyFill="1" applyBorder="1" applyAlignment="1">
      <alignment horizontal="center" vertical="top" wrapText="1"/>
    </xf>
    <xf numFmtId="179" fontId="43" fillId="2" borderId="44" xfId="26" applyNumberFormat="1" applyFont="1" applyFill="1" applyBorder="1" applyAlignment="1">
      <alignment horizontal="center" vertical="top" wrapText="1"/>
    </xf>
    <xf numFmtId="179" fontId="43" fillId="2" borderId="92" xfId="26" applyNumberFormat="1" applyFont="1" applyFill="1" applyBorder="1" applyAlignment="1">
      <alignment horizontal="center" vertical="top" wrapText="1"/>
    </xf>
    <xf numFmtId="179" fontId="43" fillId="2" borderId="19" xfId="26" applyNumberFormat="1" applyFont="1" applyFill="1" applyBorder="1" applyAlignment="1">
      <alignment horizontal="center" vertical="top" wrapText="1"/>
    </xf>
    <xf numFmtId="0" fontId="0" fillId="0" borderId="56" xfId="0" applyFill="1" applyBorder="1" applyAlignment="1">
      <alignment horizontal="center"/>
    </xf>
    <xf numFmtId="0" fontId="0" fillId="0" borderId="43" xfId="0" applyFill="1" applyBorder="1" applyAlignment="1">
      <alignment horizontal="center"/>
    </xf>
    <xf numFmtId="0" fontId="0" fillId="0" borderId="57" xfId="0" applyFill="1" applyBorder="1" applyAlignment="1">
      <alignment horizontal="center"/>
    </xf>
    <xf numFmtId="0" fontId="0" fillId="0" borderId="58" xfId="0" applyFill="1" applyBorder="1" applyAlignment="1">
      <alignment horizontal="center"/>
    </xf>
    <xf numFmtId="0" fontId="0" fillId="0" borderId="0" xfId="0" applyFill="1" applyBorder="1" applyAlignment="1">
      <alignment horizontal="center"/>
    </xf>
    <xf numFmtId="0" fontId="0" fillId="0" borderId="59" xfId="0" applyFill="1" applyBorder="1" applyAlignment="1">
      <alignment horizontal="center"/>
    </xf>
    <xf numFmtId="0" fontId="0" fillId="0" borderId="60" xfId="0" applyFill="1" applyBorder="1" applyAlignment="1">
      <alignment horizontal="center"/>
    </xf>
    <xf numFmtId="0" fontId="0" fillId="0" borderId="61" xfId="0" applyFill="1" applyBorder="1" applyAlignment="1">
      <alignment horizontal="center"/>
    </xf>
    <xf numFmtId="0" fontId="0" fillId="0" borderId="62" xfId="0" applyFill="1" applyBorder="1" applyAlignment="1">
      <alignment horizontal="center"/>
    </xf>
    <xf numFmtId="179" fontId="30" fillId="2" borderId="92" xfId="26" applyNumberFormat="1" applyFont="1" applyFill="1" applyBorder="1" applyAlignment="1">
      <alignment horizontal="center" vertical="center" wrapText="1"/>
    </xf>
    <xf numFmtId="179" fontId="30" fillId="2" borderId="67" xfId="26" applyNumberFormat="1" applyFont="1" applyFill="1" applyBorder="1" applyAlignment="1">
      <alignment horizontal="center" vertical="center" wrapText="1"/>
    </xf>
    <xf numFmtId="179" fontId="43" fillId="2" borderId="43" xfId="26" applyNumberFormat="1" applyFont="1" applyFill="1" applyBorder="1" applyAlignment="1">
      <alignment horizontal="center" vertical="top" wrapText="1"/>
    </xf>
    <xf numFmtId="179" fontId="43" fillId="2" borderId="57" xfId="26" applyNumberFormat="1" applyFont="1" applyFill="1" applyBorder="1" applyAlignment="1">
      <alignment horizontal="center" vertical="top" wrapText="1"/>
    </xf>
    <xf numFmtId="179" fontId="43" fillId="2" borderId="18" xfId="26" applyNumberFormat="1" applyFont="1" applyFill="1" applyBorder="1" applyAlignment="1">
      <alignment horizontal="center" vertical="top" wrapText="1"/>
    </xf>
    <xf numFmtId="179" fontId="43" fillId="2" borderId="67" xfId="26" applyNumberFormat="1" applyFont="1" applyFill="1" applyBorder="1" applyAlignment="1">
      <alignment horizontal="center" vertical="top" wrapText="1"/>
    </xf>
    <xf numFmtId="179" fontId="43" fillId="2" borderId="53" xfId="26" applyNumberFormat="1" applyFont="1" applyFill="1" applyBorder="1" applyAlignment="1">
      <alignment horizontal="center" vertical="center" wrapText="1"/>
    </xf>
    <xf numFmtId="0" fontId="16" fillId="2" borderId="48" xfId="26" applyFont="1" applyFill="1" applyBorder="1" applyAlignment="1">
      <alignment horizontal="left" vertical="center" wrapText="1"/>
    </xf>
    <xf numFmtId="0" fontId="16" fillId="2" borderId="78" xfId="26" applyFont="1" applyFill="1" applyBorder="1" applyAlignment="1">
      <alignment horizontal="left" vertical="center" wrapText="1"/>
    </xf>
    <xf numFmtId="0" fontId="16" fillId="2" borderId="66" xfId="26" applyFont="1" applyFill="1" applyBorder="1" applyAlignment="1">
      <alignment horizontal="left" vertical="center" wrapText="1"/>
    </xf>
    <xf numFmtId="0" fontId="16" fillId="2" borderId="62" xfId="26" applyFont="1" applyFill="1" applyBorder="1" applyAlignment="1">
      <alignment horizontal="left" vertical="center" wrapText="1"/>
    </xf>
    <xf numFmtId="0" fontId="0" fillId="0" borderId="0" xfId="0" applyAlignment="1">
      <alignment horizontal="left"/>
    </xf>
    <xf numFmtId="0" fontId="0" fillId="0" borderId="0" xfId="0" applyAlignment="1">
      <alignment vertical="top" wrapText="1"/>
    </xf>
    <xf numFmtId="0" fontId="1" fillId="0" borderId="0" xfId="0" applyFont="1" applyAlignment="1">
      <alignment horizontal="center"/>
    </xf>
    <xf numFmtId="0" fontId="26" fillId="2" borderId="12" xfId="0" applyFont="1" applyFill="1" applyBorder="1" applyAlignment="1">
      <alignment horizontal="center" vertical="center"/>
    </xf>
    <xf numFmtId="0" fontId="26" fillId="2" borderId="13" xfId="0" applyFont="1" applyFill="1" applyBorder="1" applyAlignment="1">
      <alignment horizontal="center" vertical="center"/>
    </xf>
    <xf numFmtId="0" fontId="26" fillId="2" borderId="14" xfId="0" applyFont="1" applyFill="1" applyBorder="1" applyAlignment="1">
      <alignment horizontal="center" vertical="center"/>
    </xf>
    <xf numFmtId="0" fontId="26" fillId="2" borderId="20" xfId="0" applyFont="1" applyFill="1" applyBorder="1" applyAlignment="1">
      <alignment horizontal="center" vertical="center"/>
    </xf>
    <xf numFmtId="0" fontId="26" fillId="2" borderId="0" xfId="0" applyFont="1" applyFill="1" applyBorder="1" applyAlignment="1">
      <alignment horizontal="center" vertical="center"/>
    </xf>
    <xf numFmtId="0" fontId="26" fillId="2" borderId="15" xfId="0" applyFont="1" applyFill="1" applyBorder="1" applyAlignment="1">
      <alignment horizontal="center" vertical="center"/>
    </xf>
    <xf numFmtId="169" fontId="0" fillId="0" borderId="0" xfId="0" applyNumberFormat="1" applyAlignment="1">
      <alignment horizontal="center"/>
    </xf>
    <xf numFmtId="0" fontId="43" fillId="2" borderId="4" xfId="26" applyFont="1" applyFill="1" applyBorder="1" applyAlignment="1">
      <alignment horizontal="left" vertical="center" wrapText="1"/>
    </xf>
    <xf numFmtId="0" fontId="43" fillId="2" borderId="39" xfId="26" applyFont="1" applyFill="1" applyBorder="1" applyAlignment="1">
      <alignment horizontal="left" vertical="center" wrapText="1"/>
    </xf>
    <xf numFmtId="0" fontId="43" fillId="2" borderId="6" xfId="26" applyFont="1" applyFill="1" applyBorder="1" applyAlignment="1">
      <alignment horizontal="left" vertical="center" wrapText="1"/>
    </xf>
    <xf numFmtId="0" fontId="43" fillId="2" borderId="27" xfId="26" applyFont="1" applyFill="1" applyBorder="1" applyAlignment="1">
      <alignment horizontal="left" vertical="center" wrapText="1"/>
    </xf>
    <xf numFmtId="0" fontId="24" fillId="4" borderId="48" xfId="0" applyFont="1" applyFill="1" applyBorder="1" applyAlignment="1">
      <alignment horizontal="center"/>
    </xf>
    <xf numFmtId="0" fontId="24" fillId="4" borderId="41" xfId="0" applyFont="1" applyFill="1" applyBorder="1" applyAlignment="1">
      <alignment horizontal="center"/>
    </xf>
    <xf numFmtId="0" fontId="20" fillId="4" borderId="34" xfId="0" applyFont="1" applyFill="1" applyBorder="1" applyAlignment="1">
      <alignment horizontal="center"/>
    </xf>
    <xf numFmtId="0" fontId="20" fillId="4" borderId="42" xfId="0" applyFont="1" applyFill="1" applyBorder="1" applyAlignment="1">
      <alignment horizontal="center"/>
    </xf>
    <xf numFmtId="0" fontId="2" fillId="3" borderId="34" xfId="0" applyNumberFormat="1" applyFont="1" applyFill="1" applyBorder="1" applyAlignment="1" applyProtection="1">
      <alignment horizontal="center"/>
      <protection locked="0" hidden="1"/>
    </xf>
    <xf numFmtId="0" fontId="2" fillId="3" borderId="42" xfId="0" applyNumberFormat="1" applyFont="1" applyFill="1" applyBorder="1" applyAlignment="1" applyProtection="1">
      <alignment horizontal="center"/>
      <protection locked="0" hidden="1"/>
    </xf>
    <xf numFmtId="0" fontId="24" fillId="0" borderId="0" xfId="0" applyFont="1" applyFill="1" applyBorder="1" applyAlignment="1">
      <alignment horizontal="center"/>
    </xf>
    <xf numFmtId="0" fontId="2" fillId="0" borderId="0" xfId="0" applyNumberFormat="1" applyFont="1" applyFill="1" applyBorder="1" applyAlignment="1" applyProtection="1">
      <alignment horizontal="center"/>
      <protection locked="0" hidden="1"/>
    </xf>
    <xf numFmtId="0" fontId="24" fillId="6" borderId="48" xfId="0" applyFont="1" applyFill="1" applyBorder="1" applyAlignment="1">
      <alignment horizontal="center"/>
    </xf>
    <xf numFmtId="0" fontId="24" fillId="6" borderId="41" xfId="0" applyFont="1" applyFill="1" applyBorder="1" applyAlignment="1">
      <alignment horizontal="center"/>
    </xf>
    <xf numFmtId="0" fontId="24" fillId="5" borderId="48" xfId="0" applyFont="1" applyFill="1" applyBorder="1" applyAlignment="1">
      <alignment horizontal="center"/>
    </xf>
    <xf numFmtId="0" fontId="24" fillId="5" borderId="41" xfId="0" applyFont="1" applyFill="1" applyBorder="1" applyAlignment="1">
      <alignment horizontal="center"/>
    </xf>
    <xf numFmtId="0" fontId="20" fillId="6" borderId="34" xfId="0" applyFont="1" applyFill="1" applyBorder="1" applyAlignment="1">
      <alignment horizontal="center"/>
    </xf>
    <xf numFmtId="0" fontId="24" fillId="6" borderId="42" xfId="0" applyFont="1" applyFill="1" applyBorder="1" applyAlignment="1">
      <alignment horizontal="center"/>
    </xf>
    <xf numFmtId="0" fontId="20" fillId="5" borderId="34" xfId="0" applyFont="1" applyFill="1" applyBorder="1" applyAlignment="1">
      <alignment horizontal="center"/>
    </xf>
    <xf numFmtId="0" fontId="20" fillId="5" borderId="42" xfId="0" applyFont="1" applyFill="1" applyBorder="1" applyAlignment="1">
      <alignment horizontal="center"/>
    </xf>
    <xf numFmtId="0" fontId="0" fillId="0" borderId="22" xfId="0" applyBorder="1" applyAlignment="1">
      <alignment horizontal="center"/>
    </xf>
    <xf numFmtId="0" fontId="5" fillId="2" borderId="21" xfId="0" applyFont="1" applyFill="1" applyBorder="1" applyAlignment="1">
      <alignment horizontal="center"/>
    </xf>
    <xf numFmtId="0" fontId="5" fillId="2" borderId="22" xfId="0" applyFont="1" applyFill="1" applyBorder="1" applyAlignment="1">
      <alignment horizontal="center"/>
    </xf>
    <xf numFmtId="0" fontId="5" fillId="2" borderId="77" xfId="0" applyFont="1" applyFill="1" applyBorder="1" applyAlignment="1">
      <alignment horizontal="center"/>
    </xf>
    <xf numFmtId="0" fontId="2" fillId="2" borderId="34" xfId="0" applyNumberFormat="1" applyFont="1" applyFill="1" applyBorder="1" applyAlignment="1" applyProtection="1">
      <alignment horizontal="center"/>
      <protection hidden="1"/>
    </xf>
    <xf numFmtId="0" fontId="2" fillId="2" borderId="42" xfId="0" applyNumberFormat="1" applyFont="1" applyFill="1" applyBorder="1" applyAlignment="1" applyProtection="1">
      <alignment horizontal="center"/>
      <protection hidden="1"/>
    </xf>
    <xf numFmtId="165" fontId="2" fillId="3" borderId="60" xfId="0" applyNumberFormat="1" applyFont="1" applyFill="1" applyBorder="1" applyAlignment="1" applyProtection="1">
      <alignment horizontal="center"/>
      <protection locked="0"/>
    </xf>
    <xf numFmtId="165" fontId="2" fillId="3" borderId="73" xfId="0" applyNumberFormat="1" applyFont="1" applyFill="1" applyBorder="1" applyAlignment="1" applyProtection="1">
      <alignment horizontal="center"/>
      <protection locked="0"/>
    </xf>
    <xf numFmtId="176" fontId="2" fillId="38" borderId="55" xfId="28" applyNumberFormat="1" applyFont="1" applyBorder="1" applyAlignment="1" applyProtection="1">
      <alignment horizontal="center" vertical="top"/>
      <protection locked="0"/>
    </xf>
    <xf numFmtId="176" fontId="2" fillId="38" borderId="41" xfId="28" applyNumberFormat="1" applyFont="1" applyBorder="1" applyAlignment="1" applyProtection="1">
      <alignment horizontal="center" vertical="top"/>
      <protection locked="0"/>
    </xf>
    <xf numFmtId="166" fontId="43" fillId="37" borderId="60" xfId="26" applyNumberFormat="1" applyFont="1" applyBorder="1" applyAlignment="1">
      <alignment horizontal="center" vertical="center"/>
    </xf>
    <xf numFmtId="166" fontId="43" fillId="37" borderId="73" xfId="26" applyNumberFormat="1" applyFont="1" applyBorder="1" applyAlignment="1">
      <alignment horizontal="center" vertical="center"/>
    </xf>
    <xf numFmtId="0" fontId="4" fillId="0" borderId="21" xfId="0" applyFont="1" applyFill="1" applyBorder="1" applyAlignment="1">
      <alignment horizontal="center" vertical="center" wrapText="1"/>
    </xf>
    <xf numFmtId="0" fontId="4" fillId="0" borderId="22" xfId="0" applyFont="1" applyFill="1" applyBorder="1" applyAlignment="1">
      <alignment horizontal="center" vertical="center" wrapText="1"/>
    </xf>
    <xf numFmtId="0" fontId="4" fillId="0" borderId="18" xfId="0" applyFont="1" applyFill="1" applyBorder="1" applyAlignment="1">
      <alignment horizontal="center" vertical="center" wrapText="1"/>
    </xf>
    <xf numFmtId="0" fontId="4" fillId="0" borderId="19" xfId="0" applyFont="1" applyFill="1" applyBorder="1" applyAlignment="1">
      <alignment horizontal="center" vertical="center" wrapText="1"/>
    </xf>
    <xf numFmtId="0" fontId="16" fillId="2" borderId="66" xfId="26" applyFont="1" applyFill="1" applyBorder="1" applyAlignment="1">
      <alignment horizontal="left"/>
    </xf>
    <xf numFmtId="0" fontId="16" fillId="2" borderId="61" xfId="26" applyFont="1" applyFill="1" applyBorder="1" applyAlignment="1">
      <alignment horizontal="left"/>
    </xf>
    <xf numFmtId="0" fontId="2" fillId="2" borderId="66" xfId="0" applyFont="1" applyFill="1" applyBorder="1" applyAlignment="1">
      <alignment horizontal="left"/>
    </xf>
    <xf numFmtId="0" fontId="2" fillId="2" borderId="61" xfId="0" applyFont="1" applyFill="1" applyBorder="1" applyAlignment="1">
      <alignment horizontal="left"/>
    </xf>
    <xf numFmtId="166" fontId="43" fillId="37" borderId="27" xfId="26" applyNumberFormat="1" applyFont="1" applyBorder="1" applyAlignment="1">
      <alignment horizontal="center" vertical="center"/>
    </xf>
    <xf numFmtId="166" fontId="43" fillId="37" borderId="76" xfId="26" applyNumberFormat="1" applyFont="1" applyBorder="1" applyAlignment="1">
      <alignment horizontal="center" vertical="center"/>
    </xf>
    <xf numFmtId="166" fontId="5" fillId="2" borderId="33" xfId="0" applyNumberFormat="1" applyFont="1" applyFill="1" applyBorder="1" applyAlignment="1">
      <alignment horizontal="center" vertical="top"/>
    </xf>
    <xf numFmtId="166" fontId="5" fillId="2" borderId="24" xfId="0" applyNumberFormat="1" applyFont="1" applyFill="1" applyBorder="1" applyAlignment="1">
      <alignment horizontal="center" vertical="top"/>
    </xf>
    <xf numFmtId="0" fontId="2" fillId="2" borderId="34" xfId="0" applyFont="1" applyFill="1" applyBorder="1" applyAlignment="1">
      <alignment horizontal="left"/>
    </xf>
    <xf numFmtId="0" fontId="2" fillId="2" borderId="37" xfId="0" applyFont="1" applyFill="1" applyBorder="1" applyAlignment="1">
      <alignment horizontal="left"/>
    </xf>
    <xf numFmtId="0" fontId="2" fillId="2" borderId="48" xfId="0" applyFont="1" applyFill="1" applyBorder="1" applyAlignment="1">
      <alignment horizontal="left" vertical="top"/>
    </xf>
    <xf numFmtId="0" fontId="2" fillId="2" borderId="40" xfId="0" applyFont="1" applyFill="1" applyBorder="1" applyAlignment="1">
      <alignment horizontal="left" vertical="top"/>
    </xf>
    <xf numFmtId="0" fontId="2" fillId="2" borderId="34" xfId="0" applyFont="1" applyFill="1" applyBorder="1" applyAlignment="1">
      <alignment horizontal="left" vertical="top"/>
    </xf>
    <xf numFmtId="0" fontId="2" fillId="2" borderId="37" xfId="0" applyFont="1" applyFill="1" applyBorder="1" applyAlignment="1">
      <alignment horizontal="left" vertical="top"/>
    </xf>
    <xf numFmtId="0" fontId="0" fillId="0" borderId="20" xfId="0" applyFill="1" applyBorder="1" applyAlignment="1">
      <alignment horizontal="center"/>
    </xf>
    <xf numFmtId="0" fontId="0" fillId="0" borderId="15" xfId="0" applyFill="1" applyBorder="1" applyAlignment="1">
      <alignment horizontal="center"/>
    </xf>
    <xf numFmtId="0" fontId="2" fillId="2" borderId="63" xfId="0" applyFont="1" applyFill="1" applyBorder="1" applyAlignment="1">
      <alignment horizontal="left" vertical="center" wrapText="1"/>
    </xf>
    <xf numFmtId="0" fontId="2" fillId="2" borderId="65" xfId="0" applyFont="1" applyFill="1" applyBorder="1" applyAlignment="1">
      <alignment horizontal="left" vertical="center" wrapText="1"/>
    </xf>
    <xf numFmtId="0" fontId="2" fillId="2" borderId="34" xfId="0" applyFont="1" applyFill="1" applyBorder="1" applyAlignment="1" applyProtection="1">
      <alignment horizontal="center" vertical="center"/>
    </xf>
    <xf numFmtId="0" fontId="2" fillId="2" borderId="37" xfId="0" applyFont="1" applyFill="1" applyBorder="1" applyAlignment="1" applyProtection="1">
      <alignment horizontal="center" vertical="center"/>
    </xf>
    <xf numFmtId="2" fontId="16" fillId="37" borderId="93" xfId="26" applyNumberFormat="1" applyFont="1" applyBorder="1" applyAlignment="1" applyProtection="1">
      <alignment horizontal="center" vertical="center"/>
    </xf>
    <xf numFmtId="2" fontId="16" fillId="37" borderId="86" xfId="26" applyNumberFormat="1" applyFont="1" applyBorder="1" applyAlignment="1" applyProtection="1">
      <alignment horizontal="center" vertical="center"/>
    </xf>
    <xf numFmtId="175" fontId="16" fillId="37" borderId="81" xfId="26" applyNumberFormat="1" applyFont="1" applyBorder="1" applyAlignment="1" applyProtection="1">
      <alignment horizontal="center" vertical="center"/>
    </xf>
    <xf numFmtId="175" fontId="16" fillId="37" borderId="83" xfId="26" applyNumberFormat="1" applyFont="1" applyBorder="1" applyAlignment="1" applyProtection="1">
      <alignment horizontal="center" vertical="center"/>
    </xf>
    <xf numFmtId="0" fontId="4" fillId="2" borderId="4" xfId="28" applyNumberFormat="1" applyFont="1" applyFill="1" applyBorder="1" applyAlignment="1" applyProtection="1">
      <alignment horizontal="center" vertical="top"/>
    </xf>
    <xf numFmtId="0" fontId="4" fillId="2" borderId="5" xfId="28" applyNumberFormat="1" applyFont="1" applyFill="1" applyBorder="1" applyAlignment="1" applyProtection="1">
      <alignment horizontal="center" vertical="top"/>
    </xf>
    <xf numFmtId="0" fontId="16" fillId="2" borderId="34" xfId="26" applyFont="1" applyFill="1" applyBorder="1" applyAlignment="1" applyProtection="1">
      <alignment horizontal="left" vertical="center"/>
    </xf>
    <xf numFmtId="0" fontId="16" fillId="2" borderId="37" xfId="26" applyFont="1" applyFill="1" applyBorder="1" applyAlignment="1" applyProtection="1">
      <alignment horizontal="left" vertical="center"/>
    </xf>
    <xf numFmtId="0" fontId="16" fillId="2" borderId="38" xfId="26" applyFont="1" applyFill="1" applyBorder="1" applyAlignment="1" applyProtection="1">
      <alignment horizontal="left" vertical="center"/>
    </xf>
    <xf numFmtId="189" fontId="4" fillId="2" borderId="4" xfId="28" applyNumberFormat="1" applyFont="1" applyFill="1" applyBorder="1" applyAlignment="1" applyProtection="1">
      <alignment horizontal="center" vertical="top"/>
    </xf>
    <xf numFmtId="189" fontId="4" fillId="2" borderId="5" xfId="28" applyNumberFormat="1" applyFont="1" applyFill="1" applyBorder="1" applyAlignment="1" applyProtection="1">
      <alignment horizontal="center" vertical="top"/>
    </xf>
    <xf numFmtId="172" fontId="4" fillId="2" borderId="4" xfId="28" applyNumberFormat="1" applyFont="1" applyFill="1" applyBorder="1" applyAlignment="1" applyProtection="1">
      <alignment horizontal="center" vertical="top"/>
    </xf>
    <xf numFmtId="172" fontId="4" fillId="2" borderId="5" xfId="28" applyNumberFormat="1" applyFont="1" applyFill="1" applyBorder="1" applyAlignment="1" applyProtection="1">
      <alignment horizontal="center" vertical="top"/>
    </xf>
    <xf numFmtId="175" fontId="16" fillId="37" borderId="94" xfId="26" applyNumberFormat="1" applyFont="1" applyBorder="1" applyAlignment="1" applyProtection="1">
      <alignment horizontal="center" vertical="center"/>
    </xf>
    <xf numFmtId="175" fontId="16" fillId="37" borderId="95" xfId="26" applyNumberFormat="1" applyFont="1" applyBorder="1" applyAlignment="1" applyProtection="1">
      <alignment horizontal="center" vertical="center"/>
    </xf>
    <xf numFmtId="0" fontId="5" fillId="7" borderId="21" xfId="0" applyFont="1" applyFill="1" applyBorder="1" applyAlignment="1" applyProtection="1">
      <alignment horizontal="center" vertical="center"/>
    </xf>
    <xf numFmtId="0" fontId="5" fillId="7" borderId="22" xfId="0" applyFont="1" applyFill="1" applyBorder="1" applyAlignment="1" applyProtection="1">
      <alignment horizontal="center" vertical="center"/>
    </xf>
    <xf numFmtId="0" fontId="5" fillId="7" borderId="24" xfId="0" applyFont="1" applyFill="1" applyBorder="1" applyAlignment="1" applyProtection="1">
      <alignment horizontal="center" vertical="center"/>
    </xf>
    <xf numFmtId="1" fontId="4" fillId="2" borderId="34" xfId="28" applyNumberFormat="1" applyFont="1" applyFill="1" applyBorder="1" applyAlignment="1" applyProtection="1">
      <alignment horizontal="center" vertical="top"/>
    </xf>
    <xf numFmtId="1" fontId="4" fillId="2" borderId="37" xfId="28" applyNumberFormat="1" applyFont="1" applyFill="1" applyBorder="1" applyAlignment="1" applyProtection="1">
      <alignment horizontal="center" vertical="top"/>
    </xf>
    <xf numFmtId="1" fontId="4" fillId="2" borderId="38" xfId="28" applyNumberFormat="1" applyFont="1" applyFill="1" applyBorder="1" applyAlignment="1" applyProtection="1">
      <alignment horizontal="center" vertical="top"/>
    </xf>
    <xf numFmtId="0" fontId="24" fillId="4" borderId="4" xfId="0" applyFont="1" applyFill="1" applyBorder="1" applyAlignment="1" applyProtection="1">
      <alignment horizontal="center" vertical="center" wrapText="1"/>
    </xf>
    <xf numFmtId="0" fontId="24" fillId="4" borderId="5" xfId="0" applyFont="1" applyFill="1" applyBorder="1" applyAlignment="1" applyProtection="1">
      <alignment horizontal="center" vertical="center" wrapText="1"/>
    </xf>
    <xf numFmtId="165" fontId="4" fillId="2" borderId="4" xfId="28" applyNumberFormat="1" applyFont="1" applyFill="1" applyBorder="1" applyAlignment="1" applyProtection="1">
      <alignment horizontal="center" vertical="top"/>
    </xf>
    <xf numFmtId="165" fontId="4" fillId="2" borderId="5" xfId="28" applyNumberFormat="1" applyFont="1" applyFill="1" applyBorder="1" applyAlignment="1" applyProtection="1">
      <alignment horizontal="center" vertical="top"/>
    </xf>
    <xf numFmtId="0" fontId="4" fillId="0" borderId="21" xfId="0" applyFont="1" applyFill="1" applyBorder="1" applyAlignment="1" applyProtection="1">
      <alignment horizontal="center" vertical="center" wrapText="1"/>
    </xf>
    <xf numFmtId="0" fontId="4" fillId="0" borderId="22" xfId="0" applyFont="1" applyFill="1" applyBorder="1" applyAlignment="1" applyProtection="1">
      <alignment horizontal="center" vertical="center" wrapText="1"/>
    </xf>
    <xf numFmtId="0" fontId="4" fillId="0" borderId="24" xfId="0" applyFont="1" applyFill="1" applyBorder="1" applyAlignment="1" applyProtection="1">
      <alignment horizontal="center" vertical="center" wrapText="1"/>
    </xf>
    <xf numFmtId="166" fontId="4" fillId="2" borderId="4" xfId="28" applyNumberFormat="1" applyFont="1" applyFill="1" applyBorder="1" applyAlignment="1" applyProtection="1">
      <alignment horizontal="center" vertical="top"/>
    </xf>
    <xf numFmtId="166" fontId="4" fillId="2" borderId="5" xfId="28" applyNumberFormat="1" applyFont="1" applyFill="1" applyBorder="1" applyAlignment="1" applyProtection="1">
      <alignment horizontal="center" vertical="top"/>
    </xf>
    <xf numFmtId="0" fontId="16" fillId="2" borderId="6" xfId="26" applyFont="1" applyFill="1" applyBorder="1" applyAlignment="1" applyProtection="1">
      <alignment horizontal="left"/>
    </xf>
    <xf numFmtId="0" fontId="16" fillId="2" borderId="7" xfId="26" applyFont="1" applyFill="1" applyBorder="1" applyAlignment="1" applyProtection="1">
      <alignment horizontal="left"/>
    </xf>
    <xf numFmtId="166" fontId="4" fillId="2" borderId="6" xfId="28" applyNumberFormat="1" applyFont="1" applyFill="1" applyBorder="1" applyAlignment="1" applyProtection="1">
      <alignment horizontal="center" vertical="top"/>
    </xf>
    <xf numFmtId="166" fontId="4" fillId="2" borderId="7" xfId="28" applyNumberFormat="1" applyFont="1" applyFill="1" applyBorder="1" applyAlignment="1" applyProtection="1">
      <alignment horizontal="center" vertical="top"/>
    </xf>
    <xf numFmtId="166" fontId="4" fillId="2" borderId="38" xfId="28" applyNumberFormat="1" applyFont="1" applyFill="1" applyBorder="1" applyAlignment="1" applyProtection="1">
      <alignment horizontal="center" vertical="top"/>
    </xf>
    <xf numFmtId="166" fontId="4" fillId="2" borderId="98" xfId="28" applyNumberFormat="1" applyFont="1" applyFill="1" applyBorder="1" applyAlignment="1" applyProtection="1">
      <alignment horizontal="center" vertical="top"/>
    </xf>
    <xf numFmtId="166" fontId="4" fillId="2" borderId="47" xfId="28" applyNumberFormat="1" applyFont="1" applyFill="1" applyBorder="1" applyAlignment="1" applyProtection="1">
      <alignment horizontal="center" vertical="top"/>
    </xf>
    <xf numFmtId="166" fontId="5" fillId="2" borderId="18" xfId="0" applyNumberFormat="1" applyFont="1" applyFill="1" applyBorder="1" applyAlignment="1" applyProtection="1">
      <alignment horizontal="center"/>
    </xf>
    <xf numFmtId="0" fontId="5" fillId="2" borderId="67" xfId="0" applyFont="1" applyFill="1" applyBorder="1" applyAlignment="1" applyProtection="1">
      <alignment horizontal="center"/>
    </xf>
    <xf numFmtId="49" fontId="3" fillId="2" borderId="7" xfId="0" applyNumberFormat="1" applyFont="1" applyFill="1" applyBorder="1" applyAlignment="1" applyProtection="1">
      <alignment horizontal="left"/>
    </xf>
    <xf numFmtId="49" fontId="3" fillId="2" borderId="72" xfId="0" applyNumberFormat="1" applyFont="1" applyFill="1" applyBorder="1" applyAlignment="1" applyProtection="1">
      <alignment horizontal="left"/>
    </xf>
    <xf numFmtId="0" fontId="5" fillId="2" borderId="21" xfId="0" applyFont="1" applyFill="1" applyBorder="1" applyAlignment="1" applyProtection="1">
      <alignment horizontal="center" vertical="top"/>
    </xf>
    <xf numFmtId="0" fontId="5" fillId="2" borderId="22" xfId="0" applyFont="1" applyFill="1" applyBorder="1" applyAlignment="1" applyProtection="1">
      <alignment horizontal="center" vertical="top"/>
    </xf>
    <xf numFmtId="0" fontId="5" fillId="2" borderId="24" xfId="0" applyFont="1" applyFill="1" applyBorder="1" applyAlignment="1" applyProtection="1">
      <alignment horizontal="center" vertical="top"/>
    </xf>
    <xf numFmtId="166" fontId="4" fillId="2" borderId="9" xfId="28" applyNumberFormat="1" applyFont="1" applyFill="1" applyBorder="1" applyAlignment="1" applyProtection="1">
      <alignment horizontal="center" vertical="top"/>
    </xf>
    <xf numFmtId="0" fontId="5" fillId="0" borderId="18" xfId="0" applyFont="1" applyFill="1" applyBorder="1" applyAlignment="1" applyProtection="1">
      <alignment horizontal="center" vertical="top"/>
    </xf>
    <xf numFmtId="0" fontId="0" fillId="11" borderId="20" xfId="0" applyFill="1" applyBorder="1" applyAlignment="1" applyProtection="1">
      <alignment horizontal="center"/>
    </xf>
    <xf numFmtId="0" fontId="0" fillId="11" borderId="0" xfId="0" applyFill="1" applyBorder="1" applyAlignment="1" applyProtection="1">
      <alignment horizontal="center"/>
    </xf>
    <xf numFmtId="0" fontId="0" fillId="11" borderId="15" xfId="0" applyFill="1" applyBorder="1" applyAlignment="1" applyProtection="1">
      <alignment horizontal="center"/>
    </xf>
    <xf numFmtId="166" fontId="4" fillId="2" borderId="72" xfId="28" applyNumberFormat="1" applyFont="1" applyFill="1" applyBorder="1" applyAlignment="1" applyProtection="1">
      <alignment horizontal="center" vertical="top"/>
    </xf>
    <xf numFmtId="0" fontId="16" fillId="2" borderId="45" xfId="26" applyFont="1" applyFill="1" applyBorder="1" applyAlignment="1" applyProtection="1">
      <alignment horizontal="left" vertical="center"/>
    </xf>
    <xf numFmtId="0" fontId="16" fillId="2" borderId="28" xfId="26" applyFont="1" applyFill="1" applyBorder="1" applyAlignment="1" applyProtection="1">
      <alignment horizontal="left" vertical="center"/>
    </xf>
    <xf numFmtId="0" fontId="4" fillId="2" borderId="2" xfId="28" applyNumberFormat="1" applyFont="1" applyFill="1" applyBorder="1" applyAlignment="1" applyProtection="1">
      <alignment horizontal="center" vertical="top"/>
    </xf>
    <xf numFmtId="0" fontId="4" fillId="2" borderId="3" xfId="28" applyNumberFormat="1" applyFont="1" applyFill="1" applyBorder="1" applyAlignment="1" applyProtection="1">
      <alignment horizontal="center" vertical="top"/>
    </xf>
    <xf numFmtId="0" fontId="5" fillId="2" borderId="17" xfId="0" applyFont="1" applyFill="1" applyBorder="1" applyAlignment="1" applyProtection="1">
      <alignment horizontal="center"/>
    </xf>
    <xf numFmtId="0" fontId="5" fillId="2" borderId="18" xfId="0" applyFont="1" applyFill="1" applyBorder="1" applyAlignment="1" applyProtection="1">
      <alignment horizontal="center"/>
    </xf>
    <xf numFmtId="0" fontId="3" fillId="2" borderId="2" xfId="0" applyFont="1" applyFill="1" applyBorder="1" applyAlignment="1" applyProtection="1">
      <alignment horizontal="left"/>
    </xf>
    <xf numFmtId="0" fontId="3" fillId="2" borderId="3" xfId="0" applyFont="1" applyFill="1" applyBorder="1" applyAlignment="1" applyProtection="1">
      <alignment horizontal="left"/>
    </xf>
    <xf numFmtId="49" fontId="3" fillId="2" borderId="3" xfId="0" applyNumberFormat="1" applyFont="1" applyFill="1" applyBorder="1" applyAlignment="1" applyProtection="1">
      <alignment horizontal="left"/>
    </xf>
    <xf numFmtId="49" fontId="3" fillId="2" borderId="36" xfId="0" applyNumberFormat="1" applyFont="1" applyFill="1" applyBorder="1" applyAlignment="1" applyProtection="1">
      <alignment horizontal="left"/>
    </xf>
    <xf numFmtId="0" fontId="3" fillId="2" borderId="4" xfId="0" applyFont="1" applyFill="1" applyBorder="1" applyAlignment="1" applyProtection="1">
      <alignment horizontal="left"/>
    </xf>
    <xf numFmtId="0" fontId="3" fillId="2" borderId="5" xfId="0" applyFont="1" applyFill="1" applyBorder="1" applyAlignment="1" applyProtection="1">
      <alignment horizontal="left"/>
    </xf>
    <xf numFmtId="49" fontId="3" fillId="2" borderId="5" xfId="0" applyNumberFormat="1" applyFont="1" applyFill="1" applyBorder="1" applyAlignment="1" applyProtection="1">
      <alignment horizontal="left"/>
    </xf>
    <xf numFmtId="49" fontId="3" fillId="2" borderId="9" xfId="0" applyNumberFormat="1" applyFont="1" applyFill="1" applyBorder="1" applyAlignment="1" applyProtection="1">
      <alignment horizontal="left"/>
    </xf>
    <xf numFmtId="0" fontId="3" fillId="2" borderId="6" xfId="0" applyFont="1" applyFill="1" applyBorder="1" applyAlignment="1" applyProtection="1">
      <alignment horizontal="left"/>
    </xf>
    <xf numFmtId="0" fontId="3" fillId="2" borderId="7" xfId="0" applyFont="1" applyFill="1" applyBorder="1" applyAlignment="1" applyProtection="1">
      <alignment horizontal="left"/>
    </xf>
    <xf numFmtId="0" fontId="41" fillId="2" borderId="33" xfId="26" applyFont="1" applyFill="1" applyBorder="1" applyAlignment="1" applyProtection="1">
      <alignment horizontal="center" vertical="center" wrapText="1"/>
    </xf>
    <xf numFmtId="0" fontId="41" fillId="2" borderId="24" xfId="26" applyFont="1" applyFill="1" applyBorder="1" applyAlignment="1" applyProtection="1">
      <alignment horizontal="center" vertical="center" wrapText="1"/>
    </xf>
    <xf numFmtId="0" fontId="41" fillId="2" borderId="99" xfId="26" applyFont="1" applyFill="1" applyBorder="1" applyAlignment="1" applyProtection="1">
      <alignment horizontal="center" vertical="top" wrapText="1"/>
    </xf>
    <xf numFmtId="0" fontId="41" fillId="2" borderId="79" xfId="26" applyFont="1" applyFill="1" applyBorder="1" applyAlignment="1" applyProtection="1">
      <alignment horizontal="center" vertical="top" wrapText="1"/>
    </xf>
    <xf numFmtId="0" fontId="41" fillId="2" borderId="64" xfId="26" applyFont="1" applyFill="1" applyBorder="1" applyAlignment="1" applyProtection="1">
      <alignment horizontal="center" vertical="center" wrapText="1"/>
    </xf>
    <xf numFmtId="0" fontId="41" fillId="2" borderId="79" xfId="26" applyFont="1" applyFill="1" applyBorder="1" applyAlignment="1" applyProtection="1">
      <alignment horizontal="center" vertical="center" wrapText="1"/>
    </xf>
    <xf numFmtId="166" fontId="4" fillId="2" borderId="25" xfId="28" applyNumberFormat="1" applyFont="1" applyFill="1" applyBorder="1" applyAlignment="1" applyProtection="1">
      <alignment horizontal="center" vertical="top"/>
    </xf>
    <xf numFmtId="166" fontId="4" fillId="2" borderId="26" xfId="28" applyNumberFormat="1" applyFont="1" applyFill="1" applyBorder="1" applyAlignment="1" applyProtection="1">
      <alignment horizontal="center" vertical="top"/>
    </xf>
    <xf numFmtId="166" fontId="4" fillId="2" borderId="103" xfId="28" applyNumberFormat="1" applyFont="1" applyFill="1" applyBorder="1" applyAlignment="1" applyProtection="1">
      <alignment horizontal="center" vertical="top"/>
    </xf>
    <xf numFmtId="0" fontId="2" fillId="2" borderId="2" xfId="0" applyFont="1" applyFill="1" applyBorder="1" applyAlignment="1" applyProtection="1">
      <alignment horizontal="left" vertical="center"/>
    </xf>
    <xf numFmtId="0" fontId="2" fillId="2" borderId="3" xfId="0" applyFont="1" applyFill="1" applyBorder="1" applyAlignment="1" applyProtection="1">
      <alignment horizontal="left" vertical="center"/>
    </xf>
    <xf numFmtId="166" fontId="4" fillId="2" borderId="96" xfId="28" applyNumberFormat="1" applyFont="1" applyFill="1" applyBorder="1" applyAlignment="1" applyProtection="1">
      <alignment horizontal="center" vertical="top"/>
    </xf>
    <xf numFmtId="166" fontId="4" fillId="2" borderId="97" xfId="28" applyNumberFormat="1" applyFont="1" applyFill="1" applyBorder="1" applyAlignment="1" applyProtection="1">
      <alignment horizontal="center" vertical="top"/>
    </xf>
    <xf numFmtId="0" fontId="1" fillId="7" borderId="21" xfId="0" applyFont="1" applyFill="1" applyBorder="1" applyAlignment="1" applyProtection="1">
      <alignment horizontal="center" wrapText="1"/>
    </xf>
    <xf numFmtId="0" fontId="1" fillId="7" borderId="22" xfId="0" applyFont="1" applyFill="1" applyBorder="1" applyAlignment="1" applyProtection="1">
      <alignment horizontal="center" wrapText="1"/>
    </xf>
    <xf numFmtId="0" fontId="1" fillId="7" borderId="24" xfId="0" applyFont="1" applyFill="1" applyBorder="1" applyAlignment="1" applyProtection="1">
      <alignment horizontal="center" wrapText="1"/>
    </xf>
    <xf numFmtId="0" fontId="0" fillId="0" borderId="58"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0" fillId="0" borderId="59" xfId="0" applyFill="1" applyBorder="1" applyAlignment="1" applyProtection="1">
      <alignment horizontal="center"/>
      <protection locked="0"/>
    </xf>
    <xf numFmtId="0" fontId="0" fillId="0" borderId="60" xfId="0" applyFill="1" applyBorder="1" applyAlignment="1" applyProtection="1">
      <alignment horizontal="center"/>
      <protection locked="0"/>
    </xf>
    <xf numFmtId="0" fontId="0" fillId="0" borderId="61" xfId="0" applyFill="1" applyBorder="1" applyAlignment="1" applyProtection="1">
      <alignment horizontal="center"/>
      <protection locked="0"/>
    </xf>
    <xf numFmtId="0" fontId="0" fillId="0" borderId="62" xfId="0" applyFill="1" applyBorder="1" applyAlignment="1" applyProtection="1">
      <alignment horizontal="center"/>
      <protection locked="0"/>
    </xf>
    <xf numFmtId="0" fontId="44" fillId="2" borderId="34" xfId="26" applyFont="1" applyFill="1" applyBorder="1" applyAlignment="1" applyProtection="1">
      <alignment horizontal="left" vertical="center" wrapText="1"/>
    </xf>
    <xf numFmtId="0" fontId="44" fillId="2" borderId="37" xfId="26" applyFont="1" applyFill="1" applyBorder="1" applyAlignment="1" applyProtection="1">
      <alignment horizontal="left" vertical="center" wrapText="1"/>
    </xf>
    <xf numFmtId="174" fontId="38" fillId="2" borderId="39" xfId="26" applyNumberFormat="1" applyFont="1" applyFill="1" applyBorder="1" applyAlignment="1" applyProtection="1">
      <alignment horizontal="center" vertical="center"/>
    </xf>
    <xf numFmtId="174" fontId="38" fillId="2" borderId="38" xfId="26" applyNumberFormat="1" applyFont="1" applyFill="1" applyBorder="1" applyAlignment="1" applyProtection="1">
      <alignment horizontal="center" vertical="center"/>
    </xf>
    <xf numFmtId="174" fontId="38" fillId="2" borderId="42" xfId="26" applyNumberFormat="1" applyFont="1" applyFill="1" applyBorder="1" applyAlignment="1" applyProtection="1">
      <alignment horizontal="center" vertical="center"/>
    </xf>
    <xf numFmtId="0" fontId="14" fillId="2" borderId="66" xfId="26" applyFont="1" applyFill="1" applyBorder="1" applyAlignment="1" applyProtection="1">
      <alignment horizontal="left" vertical="center" wrapText="1"/>
    </xf>
    <xf numFmtId="0" fontId="44" fillId="2" borderId="61" xfId="26" applyFont="1" applyFill="1" applyBorder="1" applyAlignment="1" applyProtection="1">
      <alignment horizontal="left" vertical="center" wrapText="1"/>
    </xf>
    <xf numFmtId="0" fontId="44" fillId="2" borderId="62" xfId="26" applyFont="1" applyFill="1" applyBorder="1" applyAlignment="1" applyProtection="1">
      <alignment horizontal="left" vertical="center" wrapText="1"/>
    </xf>
    <xf numFmtId="167" fontId="38" fillId="2" borderId="39" xfId="26" applyNumberFormat="1" applyFont="1" applyFill="1" applyBorder="1" applyAlignment="1" applyProtection="1">
      <alignment horizontal="center" vertical="center"/>
    </xf>
    <xf numFmtId="167" fontId="38" fillId="2" borderId="42" xfId="26" applyNumberFormat="1" applyFont="1" applyFill="1" applyBorder="1" applyAlignment="1" applyProtection="1">
      <alignment horizontal="center" vertical="center"/>
    </xf>
    <xf numFmtId="0" fontId="14" fillId="2" borderId="34" xfId="26" applyFont="1" applyFill="1" applyBorder="1" applyAlignment="1" applyProtection="1">
      <alignment horizontal="left" vertical="center" wrapText="1"/>
    </xf>
    <xf numFmtId="0" fontId="0" fillId="0" borderId="37" xfId="0" applyBorder="1" applyAlignment="1" applyProtection="1">
      <alignment horizontal="left" vertical="center" wrapText="1"/>
    </xf>
    <xf numFmtId="0" fontId="0" fillId="0" borderId="38" xfId="0" applyBorder="1" applyAlignment="1" applyProtection="1">
      <alignment horizontal="left" vertical="center" wrapText="1"/>
    </xf>
    <xf numFmtId="0" fontId="1" fillId="2" borderId="21" xfId="0" applyFont="1" applyFill="1" applyBorder="1" applyAlignment="1" applyProtection="1">
      <alignment horizontal="center" vertical="center"/>
    </xf>
    <xf numFmtId="0" fontId="1" fillId="2" borderId="22"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2" fillId="0" borderId="13" xfId="0" applyFont="1" applyFill="1" applyBorder="1" applyAlignment="1" applyProtection="1">
      <alignment horizontal="center" vertical="center"/>
    </xf>
    <xf numFmtId="0" fontId="5" fillId="0" borderId="0" xfId="0" applyFont="1" applyFill="1" applyBorder="1" applyAlignment="1" applyProtection="1">
      <alignment horizontal="center" vertical="center" wrapText="1"/>
    </xf>
    <xf numFmtId="172" fontId="5" fillId="2" borderId="5" xfId="0" applyNumberFormat="1" applyFont="1" applyFill="1" applyBorder="1" applyAlignment="1" applyProtection="1">
      <alignment horizontal="center" vertical="center" wrapText="1"/>
    </xf>
    <xf numFmtId="172" fontId="5" fillId="2" borderId="9" xfId="0" applyNumberFormat="1" applyFont="1" applyFill="1" applyBorder="1" applyAlignment="1" applyProtection="1">
      <alignment horizontal="center" vertical="center" wrapText="1"/>
    </xf>
    <xf numFmtId="2" fontId="16" fillId="37" borderId="100" xfId="26" applyNumberFormat="1" applyFont="1" applyBorder="1" applyAlignment="1" applyProtection="1">
      <alignment horizontal="center" vertical="center"/>
    </xf>
    <xf numFmtId="2" fontId="16" fillId="37" borderId="101" xfId="26" applyNumberFormat="1" applyFont="1" applyBorder="1" applyAlignment="1" applyProtection="1">
      <alignment horizontal="center" vertical="center"/>
    </xf>
    <xf numFmtId="177" fontId="5" fillId="2" borderId="5" xfId="0" applyNumberFormat="1" applyFont="1" applyFill="1" applyBorder="1" applyAlignment="1" applyProtection="1">
      <alignment horizontal="center" vertical="center"/>
    </xf>
    <xf numFmtId="177" fontId="5" fillId="2" borderId="9" xfId="0" applyNumberFormat="1" applyFont="1" applyFill="1" applyBorder="1" applyAlignment="1" applyProtection="1">
      <alignment horizontal="center" vertical="center"/>
    </xf>
    <xf numFmtId="0" fontId="5" fillId="2" borderId="3" xfId="0" applyFont="1" applyFill="1" applyBorder="1" applyAlignment="1" applyProtection="1">
      <alignment horizontal="center" vertical="center" wrapText="1"/>
    </xf>
    <xf numFmtId="0" fontId="5" fillId="2" borderId="36" xfId="0" applyFont="1" applyFill="1" applyBorder="1" applyAlignment="1" applyProtection="1">
      <alignment horizontal="center" vertical="center" wrapText="1"/>
    </xf>
    <xf numFmtId="172" fontId="13" fillId="2" borderId="27" xfId="26" applyNumberFormat="1" applyFont="1" applyFill="1" applyBorder="1" applyAlignment="1" applyProtection="1">
      <alignment horizontal="center" vertical="center" wrapText="1"/>
    </xf>
    <xf numFmtId="172" fontId="13" fillId="2" borderId="76" xfId="26" applyNumberFormat="1" applyFont="1" applyFill="1" applyBorder="1" applyAlignment="1" applyProtection="1">
      <alignment horizontal="center" vertical="center" wrapText="1"/>
    </xf>
    <xf numFmtId="172" fontId="13" fillId="0" borderId="0" xfId="26" applyNumberFormat="1" applyFont="1" applyFill="1" applyBorder="1" applyAlignment="1" applyProtection="1">
      <alignment horizontal="center" vertical="center" wrapText="1"/>
      <protection locked="0"/>
    </xf>
    <xf numFmtId="182" fontId="38" fillId="2" borderId="39" xfId="26" applyNumberFormat="1" applyFont="1" applyFill="1" applyBorder="1" applyAlignment="1" applyProtection="1">
      <alignment horizontal="center" vertical="center"/>
    </xf>
    <xf numFmtId="182" fontId="38" fillId="2" borderId="37" xfId="26" applyNumberFormat="1" applyFont="1" applyFill="1" applyBorder="1" applyAlignment="1" applyProtection="1">
      <alignment horizontal="center" vertical="center"/>
    </xf>
    <xf numFmtId="182" fontId="38" fillId="2" borderId="42" xfId="26" applyNumberFormat="1" applyFont="1" applyFill="1" applyBorder="1" applyAlignment="1" applyProtection="1">
      <alignment horizontal="center" vertical="center"/>
    </xf>
    <xf numFmtId="0" fontId="14" fillId="2" borderId="75" xfId="26" applyFont="1" applyFill="1" applyBorder="1" applyAlignment="1" applyProtection="1">
      <alignment horizontal="left" vertical="center" wrapText="1"/>
    </xf>
    <xf numFmtId="0" fontId="14" fillId="2" borderId="43" xfId="26" applyFont="1" applyFill="1" applyBorder="1" applyAlignment="1" applyProtection="1">
      <alignment horizontal="left" vertical="center" wrapText="1"/>
    </xf>
    <xf numFmtId="0" fontId="14" fillId="2" borderId="61" xfId="26" applyFont="1" applyFill="1" applyBorder="1" applyAlignment="1" applyProtection="1">
      <alignment horizontal="left" vertical="center" wrapText="1"/>
    </xf>
    <xf numFmtId="172" fontId="5" fillId="7" borderId="39" xfId="28" applyNumberFormat="1" applyFont="1" applyFill="1" applyBorder="1" applyAlignment="1" applyProtection="1">
      <alignment horizontal="center" vertical="center" wrapText="1"/>
    </xf>
    <xf numFmtId="172" fontId="5" fillId="7" borderId="37" xfId="28" applyNumberFormat="1" applyFont="1" applyFill="1" applyBorder="1" applyAlignment="1" applyProtection="1">
      <alignment horizontal="center" vertical="center" wrapText="1"/>
    </xf>
    <xf numFmtId="172" fontId="5" fillId="7" borderId="42" xfId="28" applyNumberFormat="1" applyFont="1" applyFill="1" applyBorder="1" applyAlignment="1" applyProtection="1">
      <alignment horizontal="center" vertical="center" wrapText="1"/>
    </xf>
    <xf numFmtId="0" fontId="14" fillId="2" borderId="37" xfId="26" applyFont="1" applyFill="1" applyBorder="1" applyAlignment="1" applyProtection="1">
      <alignment horizontal="left" vertical="center" wrapText="1"/>
    </xf>
    <xf numFmtId="0" fontId="44" fillId="2" borderId="39" xfId="26" applyFont="1" applyFill="1" applyBorder="1" applyAlignment="1" applyProtection="1">
      <alignment horizontal="center" vertical="center" wrapText="1"/>
    </xf>
    <xf numFmtId="0" fontId="44" fillId="2" borderId="38" xfId="26" applyFont="1" applyFill="1" applyBorder="1" applyAlignment="1" applyProtection="1">
      <alignment horizontal="center" vertical="center" wrapText="1"/>
    </xf>
    <xf numFmtId="0" fontId="44" fillId="2" borderId="5" xfId="26" applyFont="1" applyFill="1" applyBorder="1" applyAlignment="1" applyProtection="1">
      <alignment horizontal="center" vertical="center" wrapText="1"/>
    </xf>
    <xf numFmtId="180" fontId="5" fillId="2" borderId="39" xfId="0" applyNumberFormat="1" applyFont="1" applyFill="1" applyBorder="1" applyAlignment="1" applyProtection="1">
      <alignment horizontal="center" vertical="center" wrapText="1"/>
    </xf>
    <xf numFmtId="180" fontId="5" fillId="2" borderId="37" xfId="0" applyNumberFormat="1" applyFont="1" applyFill="1" applyBorder="1" applyAlignment="1" applyProtection="1">
      <alignment horizontal="center" vertical="center" wrapText="1"/>
    </xf>
    <xf numFmtId="180" fontId="5" fillId="2" borderId="42" xfId="0" applyNumberFormat="1" applyFont="1" applyFill="1" applyBorder="1" applyAlignment="1" applyProtection="1">
      <alignment horizontal="center" vertical="center" wrapText="1"/>
    </xf>
    <xf numFmtId="172" fontId="13" fillId="2" borderId="39" xfId="26" applyNumberFormat="1" applyFont="1" applyFill="1" applyBorder="1" applyAlignment="1" applyProtection="1">
      <alignment horizontal="center" vertical="center"/>
    </xf>
    <xf numFmtId="172" fontId="13" fillId="2" borderId="38" xfId="26" applyNumberFormat="1" applyFont="1" applyFill="1" applyBorder="1" applyAlignment="1" applyProtection="1">
      <alignment horizontal="center" vertical="center"/>
    </xf>
    <xf numFmtId="177" fontId="13" fillId="2" borderId="5" xfId="26" applyNumberFormat="1"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2" fillId="2" borderId="63" xfId="0" applyFont="1" applyFill="1" applyBorder="1" applyAlignment="1" applyProtection="1">
      <alignment horizontal="center" vertical="center"/>
    </xf>
    <xf numFmtId="0" fontId="2" fillId="2" borderId="65" xfId="0" applyFont="1" applyFill="1" applyBorder="1" applyAlignment="1" applyProtection="1">
      <alignment horizontal="center" vertical="center"/>
    </xf>
    <xf numFmtId="0" fontId="10" fillId="2" borderId="63" xfId="26" applyFont="1" applyFill="1" applyBorder="1" applyAlignment="1" applyProtection="1">
      <alignment horizontal="left" vertical="center" wrapText="1"/>
    </xf>
    <xf numFmtId="0" fontId="10" fillId="2" borderId="65" xfId="26" applyFont="1" applyFill="1" applyBorder="1" applyAlignment="1" applyProtection="1">
      <alignment horizontal="left" vertical="center" wrapText="1"/>
    </xf>
    <xf numFmtId="0" fontId="10" fillId="2" borderId="74" xfId="26" applyFont="1" applyFill="1" applyBorder="1" applyAlignment="1" applyProtection="1">
      <alignment horizontal="left" vertical="center" wrapText="1"/>
    </xf>
    <xf numFmtId="172" fontId="4" fillId="2" borderId="39" xfId="28" applyNumberFormat="1" applyFont="1" applyFill="1" applyBorder="1" applyAlignment="1" applyProtection="1">
      <alignment horizontal="center" vertical="top"/>
    </xf>
    <xf numFmtId="172" fontId="4" fillId="2" borderId="37" xfId="28" applyNumberFormat="1" applyFont="1" applyFill="1" applyBorder="1" applyAlignment="1" applyProtection="1">
      <alignment horizontal="center" vertical="top"/>
    </xf>
    <xf numFmtId="172" fontId="4" fillId="2" borderId="38" xfId="28" applyNumberFormat="1" applyFont="1" applyFill="1" applyBorder="1" applyAlignment="1" applyProtection="1">
      <alignment horizontal="center" vertical="top"/>
    </xf>
    <xf numFmtId="172" fontId="13" fillId="2" borderId="5" xfId="26" applyNumberFormat="1" applyFont="1" applyFill="1" applyBorder="1" applyAlignment="1" applyProtection="1">
      <alignment horizontal="center" vertical="center" wrapText="1"/>
    </xf>
    <xf numFmtId="172" fontId="13" fillId="2" borderId="9" xfId="26" applyNumberFormat="1" applyFont="1" applyFill="1" applyBorder="1" applyAlignment="1" applyProtection="1">
      <alignment horizontal="center" vertical="center" wrapText="1"/>
    </xf>
    <xf numFmtId="167" fontId="38" fillId="2" borderId="38" xfId="26" applyNumberFormat="1" applyFont="1" applyFill="1" applyBorder="1" applyAlignment="1" applyProtection="1">
      <alignment horizontal="center" vertical="center"/>
    </xf>
    <xf numFmtId="0" fontId="44" fillId="2" borderId="38" xfId="26" applyFont="1" applyFill="1" applyBorder="1" applyAlignment="1" applyProtection="1">
      <alignment horizontal="left" vertical="center" wrapText="1"/>
    </xf>
    <xf numFmtId="175" fontId="16" fillId="37" borderId="102" xfId="26" applyNumberFormat="1" applyFont="1" applyBorder="1" applyAlignment="1" applyProtection="1">
      <alignment horizontal="center" vertical="center"/>
    </xf>
    <xf numFmtId="0" fontId="24" fillId="4" borderId="9" xfId="0" applyFont="1" applyFill="1" applyBorder="1" applyAlignment="1" applyProtection="1">
      <alignment horizontal="center" vertical="center" wrapText="1"/>
    </xf>
    <xf numFmtId="0" fontId="24" fillId="4" borderId="12" xfId="0" applyFont="1" applyFill="1" applyBorder="1" applyAlignment="1" applyProtection="1">
      <alignment horizontal="center" vertical="center"/>
    </xf>
    <xf numFmtId="0" fontId="24" fillId="4" borderId="13" xfId="0" applyFont="1" applyFill="1" applyBorder="1" applyAlignment="1" applyProtection="1">
      <alignment horizontal="center" vertical="center"/>
    </xf>
    <xf numFmtId="0" fontId="24" fillId="4" borderId="14" xfId="0" applyFont="1" applyFill="1" applyBorder="1" applyAlignment="1" applyProtection="1">
      <alignment horizontal="center" vertical="center"/>
    </xf>
    <xf numFmtId="166" fontId="4" fillId="2" borderId="74" xfId="28" applyNumberFormat="1" applyFont="1" applyFill="1" applyBorder="1" applyAlignment="1" applyProtection="1">
      <alignment horizontal="center" vertical="top"/>
    </xf>
    <xf numFmtId="175" fontId="16" fillId="37" borderId="104" xfId="26" applyNumberFormat="1" applyFont="1" applyBorder="1" applyAlignment="1" applyProtection="1">
      <alignment horizontal="center" vertical="center"/>
    </xf>
    <xf numFmtId="0" fontId="24" fillId="2" borderId="34" xfId="0" applyFont="1" applyFill="1" applyBorder="1" applyAlignment="1" applyProtection="1">
      <alignment horizontal="center" vertical="center" wrapText="1"/>
    </xf>
    <xf numFmtId="0" fontId="24" fillId="2" borderId="37" xfId="0" applyFont="1" applyFill="1" applyBorder="1" applyAlignment="1" applyProtection="1">
      <alignment horizontal="center" vertical="center" wrapText="1"/>
    </xf>
    <xf numFmtId="0" fontId="24" fillId="2" borderId="34" xfId="0" applyFont="1" applyFill="1" applyBorder="1" applyAlignment="1" applyProtection="1">
      <alignment horizontal="center"/>
    </xf>
    <xf numFmtId="0" fontId="24" fillId="2" borderId="37" xfId="0" applyFont="1" applyFill="1" applyBorder="1" applyAlignment="1" applyProtection="1">
      <alignment horizontal="center"/>
    </xf>
    <xf numFmtId="0" fontId="24" fillId="2" borderId="12" xfId="0" applyFont="1" applyFill="1" applyBorder="1" applyAlignment="1" applyProtection="1">
      <alignment horizontal="center"/>
    </xf>
    <xf numFmtId="0" fontId="24" fillId="2" borderId="14" xfId="0" applyFont="1" applyFill="1" applyBorder="1" applyAlignment="1" applyProtection="1">
      <alignment horizontal="center"/>
    </xf>
    <xf numFmtId="0" fontId="24" fillId="2" borderId="66" xfId="0" applyFont="1" applyFill="1" applyBorder="1" applyAlignment="1" applyProtection="1">
      <alignment horizontal="center"/>
    </xf>
    <xf numFmtId="0" fontId="24" fillId="2" borderId="73" xfId="0" applyFont="1" applyFill="1" applyBorder="1" applyAlignment="1" applyProtection="1">
      <alignment horizontal="center"/>
    </xf>
    <xf numFmtId="0" fontId="41" fillId="2" borderId="13" xfId="26" applyFont="1" applyFill="1" applyBorder="1" applyAlignment="1" applyProtection="1">
      <alignment horizontal="center" vertical="center" wrapText="1"/>
    </xf>
    <xf numFmtId="0" fontId="41" fillId="2" borderId="21" xfId="26" applyFont="1" applyFill="1" applyBorder="1" applyAlignment="1" applyProtection="1">
      <alignment horizontal="center" vertical="center" wrapText="1"/>
    </xf>
    <xf numFmtId="166" fontId="4" fillId="2" borderId="45" xfId="28" applyNumberFormat="1" applyFont="1" applyFill="1" applyBorder="1" applyAlignment="1" applyProtection="1">
      <alignment horizontal="center" vertical="top"/>
    </xf>
    <xf numFmtId="166" fontId="4" fillId="2" borderId="28" xfId="28" applyNumberFormat="1" applyFont="1" applyFill="1" applyBorder="1" applyAlignment="1" applyProtection="1">
      <alignment horizontal="center" vertical="top"/>
    </xf>
    <xf numFmtId="166" fontId="4" fillId="2" borderId="105" xfId="28" applyNumberFormat="1" applyFont="1" applyFill="1" applyBorder="1" applyAlignment="1" applyProtection="1">
      <alignment horizontal="center" vertical="top"/>
    </xf>
    <xf numFmtId="166" fontId="4" fillId="2" borderId="29" xfId="28" applyNumberFormat="1" applyFont="1" applyFill="1" applyBorder="1" applyAlignment="1" applyProtection="1">
      <alignment horizontal="center" vertical="top"/>
    </xf>
    <xf numFmtId="0" fontId="5" fillId="2" borderId="17" xfId="0" applyFont="1" applyFill="1" applyBorder="1" applyAlignment="1" applyProtection="1">
      <alignment horizontal="center"/>
      <protection locked="0"/>
    </xf>
    <xf numFmtId="0" fontId="5" fillId="2" borderId="18" xfId="0" applyFont="1" applyFill="1" applyBorder="1" applyAlignment="1" applyProtection="1">
      <alignment horizontal="center"/>
      <protection locked="0"/>
    </xf>
    <xf numFmtId="0" fontId="5" fillId="2" borderId="67" xfId="0" applyFont="1" applyFill="1" applyBorder="1" applyAlignment="1" applyProtection="1">
      <alignment horizontal="center"/>
      <protection locked="0"/>
    </xf>
    <xf numFmtId="166" fontId="5" fillId="2" borderId="18" xfId="0" applyNumberFormat="1" applyFont="1" applyFill="1" applyBorder="1" applyAlignment="1" applyProtection="1">
      <alignment horizontal="center"/>
      <protection locked="0"/>
    </xf>
    <xf numFmtId="166" fontId="4" fillId="2" borderId="106" xfId="28" applyNumberFormat="1" applyFont="1" applyFill="1" applyBorder="1" applyAlignment="1" applyProtection="1">
      <alignment horizontal="center" vertical="top"/>
    </xf>
    <xf numFmtId="166" fontId="4" fillId="2" borderId="107" xfId="28" applyNumberFormat="1" applyFont="1" applyFill="1" applyBorder="1" applyAlignment="1" applyProtection="1">
      <alignment horizontal="center" vertical="top"/>
    </xf>
    <xf numFmtId="0" fontId="0" fillId="11" borderId="20" xfId="0" applyFill="1" applyBorder="1" applyAlignment="1" applyProtection="1">
      <alignment horizontal="center"/>
      <protection locked="0"/>
    </xf>
    <xf numFmtId="0" fontId="0" fillId="11" borderId="0" xfId="0" applyFill="1" applyBorder="1" applyAlignment="1" applyProtection="1">
      <alignment horizontal="center"/>
      <protection locked="0"/>
    </xf>
    <xf numFmtId="0" fontId="0" fillId="11" borderId="15" xfId="0" applyFill="1" applyBorder="1" applyAlignment="1" applyProtection="1">
      <alignment horizontal="center"/>
      <protection locked="0"/>
    </xf>
    <xf numFmtId="0" fontId="4" fillId="2" borderId="36" xfId="28" applyNumberFormat="1" applyFont="1" applyFill="1" applyBorder="1" applyAlignment="1" applyProtection="1">
      <alignment horizontal="center" vertical="top"/>
    </xf>
    <xf numFmtId="0" fontId="4" fillId="2" borderId="9" xfId="28" applyNumberFormat="1" applyFont="1" applyFill="1" applyBorder="1" applyAlignment="1" applyProtection="1">
      <alignment horizontal="center" vertical="top"/>
    </xf>
    <xf numFmtId="0" fontId="4" fillId="2" borderId="6" xfId="28" applyNumberFormat="1" applyFont="1" applyFill="1" applyBorder="1" applyAlignment="1" applyProtection="1">
      <alignment horizontal="center" vertical="top"/>
    </xf>
    <xf numFmtId="0" fontId="4" fillId="2" borderId="72" xfId="28" applyNumberFormat="1" applyFont="1" applyFill="1" applyBorder="1" applyAlignment="1" applyProtection="1">
      <alignment horizontal="center" vertical="top"/>
    </xf>
    <xf numFmtId="0" fontId="0" fillId="0" borderId="37" xfId="0" applyBorder="1" applyAlignment="1">
      <alignment horizontal="left" vertical="center" wrapText="1"/>
    </xf>
    <xf numFmtId="0" fontId="0" fillId="0" borderId="38" xfId="0" applyBorder="1" applyAlignment="1">
      <alignment horizontal="left" vertical="center" wrapText="1"/>
    </xf>
    <xf numFmtId="0" fontId="4" fillId="0" borderId="24" xfId="0" applyFont="1" applyFill="1" applyBorder="1" applyAlignment="1">
      <alignment horizontal="center" vertical="center" wrapText="1"/>
    </xf>
    <xf numFmtId="175" fontId="16" fillId="37" borderId="1" xfId="26" applyNumberFormat="1" applyFont="1" applyBorder="1" applyAlignment="1" applyProtection="1">
      <alignment horizontal="center" vertical="center"/>
    </xf>
    <xf numFmtId="0" fontId="4" fillId="2" borderId="4" xfId="0" applyFont="1" applyFill="1" applyBorder="1" applyAlignment="1" applyProtection="1">
      <alignment horizontal="left" vertical="center"/>
    </xf>
    <xf numFmtId="0" fontId="4" fillId="2" borderId="5" xfId="0" applyFont="1" applyFill="1" applyBorder="1" applyAlignment="1" applyProtection="1">
      <alignment horizontal="left" vertical="center"/>
    </xf>
    <xf numFmtId="0" fontId="24" fillId="4" borderId="39" xfId="0" applyFont="1" applyFill="1" applyBorder="1" applyAlignment="1" applyProtection="1">
      <alignment horizontal="center" vertical="center" wrapText="1"/>
    </xf>
    <xf numFmtId="0" fontId="24" fillId="4" borderId="38" xfId="0" applyFont="1" applyFill="1" applyBorder="1" applyAlignment="1" applyProtection="1">
      <alignment horizontal="center" vertical="center" wrapText="1"/>
    </xf>
    <xf numFmtId="0" fontId="24" fillId="4" borderId="34" xfId="0" applyFont="1" applyFill="1" applyBorder="1" applyAlignment="1" applyProtection="1">
      <alignment horizontal="center" vertical="center" wrapText="1"/>
    </xf>
    <xf numFmtId="0" fontId="0" fillId="0" borderId="86" xfId="0" applyBorder="1"/>
    <xf numFmtId="166" fontId="4" fillId="2" borderId="10" xfId="28" applyNumberFormat="1" applyFont="1" applyFill="1" applyBorder="1" applyAlignment="1" applyProtection="1">
      <alignment horizontal="center" vertical="top"/>
    </xf>
    <xf numFmtId="166" fontId="4" fillId="2" borderId="8" xfId="28" applyNumberFormat="1" applyFont="1" applyFill="1" applyBorder="1" applyAlignment="1" applyProtection="1">
      <alignment horizontal="center" vertical="top"/>
    </xf>
    <xf numFmtId="0" fontId="24" fillId="4" borderId="42" xfId="0" applyFont="1" applyFill="1" applyBorder="1" applyAlignment="1" applyProtection="1">
      <alignment horizontal="center" vertical="center" wrapText="1"/>
    </xf>
    <xf numFmtId="166" fontId="4" fillId="38" borderId="115" xfId="28" applyNumberFormat="1" applyFont="1" applyAlignment="1" applyProtection="1">
      <alignment horizontal="center" vertical="top"/>
      <protection locked="0"/>
    </xf>
    <xf numFmtId="166" fontId="4" fillId="38" borderId="81" xfId="28" applyNumberFormat="1" applyFont="1" applyBorder="1" applyAlignment="1" applyProtection="1">
      <alignment horizontal="center" vertical="top"/>
      <protection locked="0"/>
    </xf>
    <xf numFmtId="0" fontId="14" fillId="2" borderId="34" xfId="26" applyFont="1" applyFill="1" applyBorder="1" applyAlignment="1" applyProtection="1">
      <alignment horizontal="left" vertical="center"/>
    </xf>
    <xf numFmtId="0" fontId="14" fillId="2" borderId="37" xfId="26" applyFont="1" applyFill="1" applyBorder="1" applyAlignment="1" applyProtection="1">
      <alignment horizontal="left" vertical="center"/>
    </xf>
    <xf numFmtId="0" fontId="14" fillId="2" borderId="38" xfId="26" applyFont="1" applyFill="1" applyBorder="1" applyAlignment="1" applyProtection="1">
      <alignment horizontal="left" vertical="center"/>
    </xf>
    <xf numFmtId="0" fontId="4" fillId="38" borderId="115" xfId="28" applyFont="1" applyAlignment="1" applyProtection="1">
      <alignment horizontal="center" vertical="top"/>
      <protection locked="0"/>
    </xf>
    <xf numFmtId="0" fontId="5" fillId="2" borderId="21" xfId="0" applyFont="1" applyFill="1" applyBorder="1" applyAlignment="1" applyProtection="1">
      <alignment horizontal="center"/>
    </xf>
    <xf numFmtId="0" fontId="5" fillId="2" borderId="22" xfId="0" applyFont="1" applyFill="1" applyBorder="1" applyAlignment="1" applyProtection="1">
      <alignment horizontal="center"/>
    </xf>
    <xf numFmtId="0" fontId="3" fillId="38" borderId="34" xfId="28" applyNumberFormat="1" applyFont="1" applyBorder="1" applyAlignment="1" applyProtection="1">
      <alignment horizontal="center"/>
      <protection locked="0" hidden="1"/>
    </xf>
    <xf numFmtId="0" fontId="3" fillId="38" borderId="37" xfId="28" applyNumberFormat="1" applyFont="1" applyBorder="1" applyAlignment="1" applyProtection="1">
      <alignment horizontal="center"/>
      <protection locked="0" hidden="1"/>
    </xf>
    <xf numFmtId="0" fontId="3" fillId="38" borderId="42" xfId="28" applyNumberFormat="1" applyFont="1" applyBorder="1" applyAlignment="1" applyProtection="1">
      <alignment horizontal="center"/>
      <protection locked="0" hidden="1"/>
    </xf>
    <xf numFmtId="0" fontId="14" fillId="2" borderId="38" xfId="26" applyFont="1" applyFill="1" applyBorder="1" applyAlignment="1" applyProtection="1">
      <alignment horizontal="left" vertical="center" wrapText="1"/>
    </xf>
    <xf numFmtId="0" fontId="14" fillId="2" borderId="45" xfId="26" applyFont="1" applyFill="1" applyBorder="1" applyAlignment="1" applyProtection="1">
      <alignment horizontal="left" vertical="center"/>
    </xf>
    <xf numFmtId="0" fontId="14" fillId="2" borderId="28" xfId="26" applyFont="1" applyFill="1" applyBorder="1" applyAlignment="1" applyProtection="1">
      <alignment horizontal="left" vertical="center"/>
    </xf>
    <xf numFmtId="166" fontId="5" fillId="2" borderId="33" xfId="0" applyNumberFormat="1" applyFont="1" applyFill="1" applyBorder="1" applyAlignment="1" applyProtection="1">
      <alignment horizontal="center" vertical="top"/>
    </xf>
    <xf numFmtId="166" fontId="5" fillId="2" borderId="24" xfId="0" applyNumberFormat="1" applyFont="1" applyFill="1" applyBorder="1" applyAlignment="1" applyProtection="1">
      <alignment horizontal="center" vertical="top"/>
    </xf>
    <xf numFmtId="166" fontId="5" fillId="2" borderId="33" xfId="0" applyNumberFormat="1" applyFont="1" applyFill="1" applyBorder="1" applyAlignment="1" applyProtection="1">
      <alignment horizontal="center"/>
    </xf>
    <xf numFmtId="166" fontId="4" fillId="2" borderId="11" xfId="28" applyNumberFormat="1" applyFont="1" applyFill="1" applyBorder="1" applyAlignment="1" applyProtection="1">
      <alignment horizontal="center" vertical="top"/>
    </xf>
    <xf numFmtId="166" fontId="4" fillId="2" borderId="85" xfId="28" applyNumberFormat="1" applyFont="1" applyFill="1" applyBorder="1" applyAlignment="1" applyProtection="1">
      <alignment horizontal="center" vertical="top"/>
    </xf>
    <xf numFmtId="0" fontId="4" fillId="2" borderId="2" xfId="0" applyFont="1" applyFill="1" applyBorder="1" applyAlignment="1" applyProtection="1">
      <alignment horizontal="left" vertical="center"/>
    </xf>
    <xf numFmtId="0" fontId="4" fillId="2" borderId="3" xfId="0" applyFont="1" applyFill="1" applyBorder="1" applyAlignment="1" applyProtection="1">
      <alignment horizontal="left" vertical="center"/>
    </xf>
    <xf numFmtId="0" fontId="14" fillId="2" borderId="4" xfId="26" applyFont="1" applyFill="1" applyBorder="1" applyAlignment="1" applyProtection="1">
      <alignment horizontal="left" vertical="center"/>
    </xf>
    <xf numFmtId="0" fontId="14" fillId="2" borderId="5" xfId="26" applyFont="1" applyFill="1" applyBorder="1" applyAlignment="1" applyProtection="1">
      <alignment horizontal="left" vertical="center"/>
    </xf>
    <xf numFmtId="0" fontId="3" fillId="0" borderId="0" xfId="0" applyFont="1" applyFill="1" applyBorder="1" applyAlignment="1">
      <alignment horizontal="center"/>
    </xf>
    <xf numFmtId="167" fontId="4" fillId="3" borderId="39" xfId="0" applyNumberFormat="1" applyFont="1" applyFill="1" applyBorder="1" applyAlignment="1" applyProtection="1">
      <alignment horizontal="center" vertical="center"/>
      <protection locked="0"/>
    </xf>
    <xf numFmtId="167" fontId="4" fillId="3" borderId="37" xfId="0" applyNumberFormat="1" applyFont="1" applyFill="1" applyBorder="1" applyAlignment="1" applyProtection="1">
      <alignment horizontal="center" vertical="center"/>
      <protection locked="0"/>
    </xf>
    <xf numFmtId="167" fontId="4" fillId="3" borderId="42" xfId="0" applyNumberFormat="1" applyFont="1" applyFill="1" applyBorder="1" applyAlignment="1" applyProtection="1">
      <alignment horizontal="center" vertical="center"/>
      <protection locked="0"/>
    </xf>
    <xf numFmtId="0" fontId="41" fillId="2" borderId="77" xfId="26" applyFont="1" applyFill="1" applyBorder="1" applyAlignment="1" applyProtection="1">
      <alignment horizontal="center" vertical="center" wrapText="1"/>
    </xf>
    <xf numFmtId="166" fontId="4" fillId="2" borderId="90" xfId="28" applyNumberFormat="1" applyFont="1" applyFill="1" applyBorder="1" applyAlignment="1" applyProtection="1">
      <alignment horizontal="center" vertical="top"/>
    </xf>
    <xf numFmtId="166" fontId="4" fillId="2" borderId="91" xfId="28" applyNumberFormat="1" applyFont="1" applyFill="1" applyBorder="1" applyAlignment="1" applyProtection="1">
      <alignment horizontal="center" vertical="top"/>
    </xf>
    <xf numFmtId="0" fontId="41" fillId="2" borderId="89" xfId="26" applyFont="1" applyFill="1" applyBorder="1" applyAlignment="1" applyProtection="1">
      <alignment horizontal="center" vertical="top" wrapText="1"/>
    </xf>
    <xf numFmtId="0" fontId="41" fillId="2" borderId="77" xfId="26" applyFont="1" applyFill="1" applyBorder="1" applyAlignment="1" applyProtection="1">
      <alignment horizontal="center" vertical="top" wrapText="1"/>
    </xf>
    <xf numFmtId="0" fontId="4" fillId="2" borderId="66" xfId="0" applyFont="1" applyFill="1" applyBorder="1" applyAlignment="1" applyProtection="1">
      <alignment horizontal="left" vertical="center" wrapText="1"/>
    </xf>
    <xf numFmtId="0" fontId="4" fillId="2" borderId="61" xfId="0" applyFont="1" applyFill="1" applyBorder="1" applyAlignment="1" applyProtection="1">
      <alignment horizontal="left" vertical="center" wrapText="1"/>
    </xf>
    <xf numFmtId="0" fontId="4" fillId="2" borderId="62" xfId="0" applyFont="1" applyFill="1" applyBorder="1" applyAlignment="1" applyProtection="1">
      <alignment horizontal="left" vertical="center" wrapText="1"/>
    </xf>
    <xf numFmtId="0" fontId="4" fillId="2" borderId="75" xfId="0" applyFont="1" applyFill="1" applyBorder="1" applyAlignment="1" applyProtection="1">
      <alignment horizontal="left" vertical="center" wrapText="1"/>
    </xf>
    <xf numFmtId="0" fontId="4" fillId="2" borderId="43" xfId="0" applyFont="1" applyFill="1" applyBorder="1" applyAlignment="1" applyProtection="1">
      <alignment horizontal="left" vertical="center" wrapText="1"/>
    </xf>
    <xf numFmtId="0" fontId="4" fillId="2" borderId="57" xfId="0" applyFont="1" applyFill="1" applyBorder="1" applyAlignment="1" applyProtection="1">
      <alignment horizontal="left" vertical="center" wrapText="1"/>
    </xf>
    <xf numFmtId="0" fontId="1" fillId="2" borderId="33" xfId="0" applyFont="1" applyFill="1" applyBorder="1" applyAlignment="1" applyProtection="1">
      <alignment horizontal="center" vertical="center"/>
    </xf>
    <xf numFmtId="0" fontId="1" fillId="2" borderId="77" xfId="0" applyFont="1" applyFill="1" applyBorder="1" applyAlignment="1" applyProtection="1">
      <alignment horizontal="center" vertical="center"/>
    </xf>
    <xf numFmtId="177" fontId="13" fillId="2" borderId="9" xfId="26" applyNumberFormat="1" applyFont="1" applyFill="1" applyBorder="1" applyAlignment="1" applyProtection="1">
      <alignment horizontal="center" vertical="center"/>
    </xf>
    <xf numFmtId="177" fontId="13" fillId="2" borderId="39" xfId="26" applyNumberFormat="1" applyFont="1" applyFill="1" applyBorder="1" applyAlignment="1" applyProtection="1">
      <alignment horizontal="center" vertical="center"/>
    </xf>
    <xf numFmtId="0" fontId="2" fillId="0" borderId="23" xfId="0" applyFont="1" applyFill="1" applyBorder="1" applyAlignment="1" applyProtection="1">
      <alignment horizontal="center" vertical="top" wrapText="1"/>
    </xf>
    <xf numFmtId="0" fontId="4" fillId="2" borderId="34" xfId="0" applyFont="1" applyFill="1" applyBorder="1" applyAlignment="1" applyProtection="1">
      <alignment horizontal="left" vertical="center" wrapText="1"/>
    </xf>
    <xf numFmtId="0" fontId="4" fillId="2" borderId="37" xfId="0" applyFont="1" applyFill="1" applyBorder="1" applyAlignment="1" applyProtection="1">
      <alignment horizontal="left" vertical="center" wrapText="1"/>
    </xf>
    <xf numFmtId="0" fontId="4" fillId="2" borderId="38" xfId="0" applyFont="1" applyFill="1" applyBorder="1" applyAlignment="1" applyProtection="1">
      <alignment horizontal="left" vertical="center" wrapText="1"/>
    </xf>
    <xf numFmtId="0" fontId="4" fillId="2" borderId="17" xfId="0" applyFont="1" applyFill="1" applyBorder="1" applyAlignment="1" applyProtection="1">
      <alignment horizontal="left" vertical="center" wrapText="1"/>
    </xf>
    <xf numFmtId="0" fontId="4" fillId="2" borderId="18" xfId="0" applyFont="1" applyFill="1" applyBorder="1" applyAlignment="1" applyProtection="1">
      <alignment horizontal="left" vertical="center" wrapText="1"/>
    </xf>
    <xf numFmtId="0" fontId="4" fillId="2" borderId="67" xfId="0" applyFont="1" applyFill="1" applyBorder="1" applyAlignment="1" applyProtection="1">
      <alignment horizontal="left" vertical="center" wrapText="1"/>
    </xf>
    <xf numFmtId="182" fontId="38" fillId="2" borderId="92" xfId="26" applyNumberFormat="1" applyFont="1" applyFill="1" applyBorder="1" applyAlignment="1" applyProtection="1">
      <alignment horizontal="center" vertical="center"/>
    </xf>
    <xf numFmtId="182" fontId="38" fillId="2" borderId="67" xfId="26" applyNumberFormat="1" applyFont="1" applyFill="1" applyBorder="1" applyAlignment="1" applyProtection="1">
      <alignment horizontal="center" vertical="center"/>
    </xf>
    <xf numFmtId="181" fontId="13" fillId="2" borderId="5" xfId="26" applyNumberFormat="1" applyFont="1" applyFill="1" applyBorder="1" applyAlignment="1" applyProtection="1">
      <alignment horizontal="center" vertical="center" wrapText="1"/>
    </xf>
    <xf numFmtId="181" fontId="13" fillId="2" borderId="39" xfId="26" applyNumberFormat="1" applyFont="1" applyFill="1" applyBorder="1" applyAlignment="1" applyProtection="1">
      <alignment horizontal="center" vertical="center" wrapText="1"/>
    </xf>
    <xf numFmtId="180" fontId="38" fillId="2" borderId="39" xfId="26" applyNumberFormat="1" applyFont="1" applyFill="1" applyBorder="1" applyAlignment="1" applyProtection="1">
      <alignment horizontal="center" vertical="center"/>
    </xf>
    <xf numFmtId="180" fontId="38" fillId="2" borderId="38" xfId="26" applyNumberFormat="1" applyFont="1" applyFill="1" applyBorder="1" applyAlignment="1" applyProtection="1">
      <alignment horizontal="center" vertical="center"/>
    </xf>
    <xf numFmtId="0" fontId="24" fillId="4" borderId="12" xfId="0" applyFont="1" applyFill="1" applyBorder="1" applyAlignment="1" applyProtection="1">
      <alignment horizontal="center"/>
    </xf>
    <xf numFmtId="0" fontId="24" fillId="4" borderId="13" xfId="0" applyFont="1" applyFill="1" applyBorder="1" applyAlignment="1" applyProtection="1">
      <alignment horizontal="center"/>
    </xf>
    <xf numFmtId="0" fontId="24" fillId="4" borderId="14" xfId="0" applyFont="1" applyFill="1" applyBorder="1" applyAlignment="1" applyProtection="1">
      <alignment horizontal="center"/>
    </xf>
    <xf numFmtId="0" fontId="2" fillId="0" borderId="20" xfId="0" applyFont="1" applyFill="1" applyBorder="1" applyAlignment="1" applyProtection="1">
      <alignment horizontal="center" vertical="center"/>
    </xf>
    <xf numFmtId="0" fontId="2" fillId="0" borderId="0"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14" xfId="0" applyFont="1" applyFill="1" applyBorder="1" applyAlignment="1" applyProtection="1">
      <alignment horizontal="center" vertical="center"/>
    </xf>
    <xf numFmtId="175" fontId="16" fillId="37" borderId="84" xfId="26" applyNumberFormat="1" applyFont="1" applyBorder="1" applyAlignment="1" applyProtection="1">
      <alignment horizontal="center" vertical="center"/>
    </xf>
    <xf numFmtId="0" fontId="4" fillId="2" borderId="20" xfId="0" applyFont="1" applyFill="1" applyBorder="1" applyAlignment="1" applyProtection="1">
      <alignment horizontal="left" vertical="center" wrapText="1"/>
    </xf>
    <xf numFmtId="0" fontId="4" fillId="2" borderId="0" xfId="0" applyFont="1" applyFill="1" applyBorder="1" applyAlignment="1" applyProtection="1">
      <alignment horizontal="left" vertical="center" wrapText="1"/>
    </xf>
    <xf numFmtId="0" fontId="4" fillId="2" borderId="59" xfId="0" applyFont="1" applyFill="1" applyBorder="1" applyAlignment="1" applyProtection="1">
      <alignment horizontal="left" vertical="center" wrapText="1"/>
    </xf>
    <xf numFmtId="177" fontId="13" fillId="2" borderId="28" xfId="26" applyNumberFormat="1" applyFont="1" applyFill="1" applyBorder="1" applyAlignment="1" applyProtection="1">
      <alignment horizontal="center" vertical="center"/>
    </xf>
    <xf numFmtId="177" fontId="13" fillId="2" borderId="52" xfId="26" applyNumberFormat="1" applyFont="1" applyFill="1" applyBorder="1" applyAlignment="1" applyProtection="1">
      <alignment horizontal="center" vertical="center"/>
    </xf>
    <xf numFmtId="2" fontId="16" fillId="37" borderId="20" xfId="26" applyNumberFormat="1" applyFont="1" applyBorder="1" applyAlignment="1" applyProtection="1">
      <alignment horizontal="center" vertical="center"/>
    </xf>
    <xf numFmtId="2" fontId="16" fillId="37" borderId="109" xfId="26" applyNumberFormat="1" applyFont="1" applyBorder="1" applyAlignment="1" applyProtection="1">
      <alignment horizontal="center" vertical="center"/>
    </xf>
    <xf numFmtId="175" fontId="16" fillId="37" borderId="108" xfId="26" applyNumberFormat="1" applyFont="1" applyBorder="1" applyAlignment="1" applyProtection="1">
      <alignment horizontal="center" vertical="center"/>
    </xf>
    <xf numFmtId="182" fontId="38" fillId="2" borderId="38" xfId="26" applyNumberFormat="1" applyFont="1" applyFill="1" applyBorder="1" applyAlignment="1" applyProtection="1">
      <alignment horizontal="center" vertical="center"/>
    </xf>
    <xf numFmtId="167" fontId="38" fillId="2" borderId="0" xfId="26" applyNumberFormat="1" applyFont="1" applyFill="1" applyBorder="1" applyAlignment="1" applyProtection="1">
      <alignment horizontal="center" vertical="center"/>
    </xf>
    <xf numFmtId="167" fontId="38" fillId="2" borderId="15" xfId="26" applyNumberFormat="1" applyFont="1" applyFill="1" applyBorder="1" applyAlignment="1" applyProtection="1">
      <alignment horizontal="center" vertical="center"/>
    </xf>
    <xf numFmtId="167" fontId="38" fillId="2" borderId="18" xfId="26" applyNumberFormat="1" applyFont="1" applyFill="1" applyBorder="1" applyAlignment="1" applyProtection="1">
      <alignment horizontal="center" vertical="center"/>
    </xf>
    <xf numFmtId="167" fontId="38" fillId="2" borderId="19" xfId="26" applyNumberFormat="1" applyFont="1" applyFill="1" applyBorder="1" applyAlignment="1" applyProtection="1">
      <alignment horizontal="center" vertical="center"/>
    </xf>
    <xf numFmtId="181" fontId="13" fillId="2" borderId="9" xfId="26" applyNumberFormat="1" applyFont="1" applyFill="1" applyBorder="1" applyAlignment="1" applyProtection="1">
      <alignment horizontal="center" vertical="center" wrapText="1"/>
    </xf>
    <xf numFmtId="177" fontId="13" fillId="2" borderId="60" xfId="26" applyNumberFormat="1" applyFont="1" applyFill="1" applyBorder="1" applyAlignment="1" applyProtection="1">
      <alignment horizontal="center" vertical="center"/>
    </xf>
    <xf numFmtId="175" fontId="16" fillId="37" borderId="110" xfId="26" applyNumberFormat="1" applyFont="1" applyBorder="1" applyAlignment="1" applyProtection="1">
      <alignment horizontal="center" vertical="center"/>
    </xf>
    <xf numFmtId="175" fontId="16" fillId="37" borderId="111" xfId="26" applyNumberFormat="1" applyFont="1" applyBorder="1" applyAlignment="1" applyProtection="1">
      <alignment horizontal="center" vertical="center"/>
    </xf>
    <xf numFmtId="2" fontId="16" fillId="37" borderId="17" xfId="26" applyNumberFormat="1" applyFont="1" applyBorder="1" applyAlignment="1" applyProtection="1">
      <alignment horizontal="center" vertical="center"/>
    </xf>
    <xf numFmtId="2" fontId="16" fillId="37" borderId="112" xfId="26" applyNumberFormat="1" applyFont="1" applyBorder="1" applyAlignment="1" applyProtection="1">
      <alignment horizontal="center" vertical="center"/>
    </xf>
    <xf numFmtId="2" fontId="4" fillId="38" borderId="5" xfId="28" applyNumberFormat="1" applyFont="1" applyBorder="1" applyAlignment="1" applyProtection="1">
      <alignment horizontal="center" vertical="center"/>
      <protection locked="0"/>
    </xf>
    <xf numFmtId="2" fontId="4" fillId="38" borderId="9" xfId="28" applyNumberFormat="1" applyFont="1" applyBorder="1" applyAlignment="1" applyProtection="1">
      <alignment horizontal="center" vertical="center"/>
      <protection locked="0"/>
    </xf>
    <xf numFmtId="0" fontId="3" fillId="38" borderId="115" xfId="28" applyNumberFormat="1" applyFont="1" applyAlignment="1" applyProtection="1">
      <alignment horizontal="center"/>
      <protection locked="0" hidden="1"/>
    </xf>
    <xf numFmtId="0" fontId="14" fillId="2" borderId="105" xfId="26" applyFont="1" applyFill="1" applyBorder="1" applyAlignment="1">
      <alignment horizontal="left"/>
    </xf>
    <xf numFmtId="0" fontId="14" fillId="2" borderId="29" xfId="26" applyFont="1" applyFill="1" applyBorder="1" applyAlignment="1">
      <alignment horizontal="left"/>
    </xf>
    <xf numFmtId="0" fontId="4" fillId="2" borderId="34" xfId="0" applyFont="1" applyFill="1" applyBorder="1" applyAlignment="1">
      <alignment horizontal="left" vertical="top"/>
    </xf>
    <xf numFmtId="0" fontId="4" fillId="2" borderId="37" xfId="0" applyFont="1" applyFill="1" applyBorder="1" applyAlignment="1">
      <alignment horizontal="left" vertical="top"/>
    </xf>
    <xf numFmtId="0" fontId="4" fillId="2" borderId="38" xfId="0" applyFont="1" applyFill="1" applyBorder="1" applyAlignment="1">
      <alignment horizontal="left" vertical="top"/>
    </xf>
    <xf numFmtId="0" fontId="24" fillId="0" borderId="20" xfId="0" applyFont="1" applyFill="1" applyBorder="1" applyAlignment="1">
      <alignment horizontal="center"/>
    </xf>
    <xf numFmtId="0" fontId="24" fillId="0" borderId="15" xfId="0" applyFont="1" applyFill="1" applyBorder="1" applyAlignment="1">
      <alignment horizontal="center"/>
    </xf>
    <xf numFmtId="0" fontId="24" fillId="0" borderId="17" xfId="0" applyFont="1" applyFill="1" applyBorder="1" applyAlignment="1">
      <alignment horizontal="center"/>
    </xf>
    <xf numFmtId="0" fontId="24" fillId="0" borderId="18" xfId="0" applyFont="1" applyFill="1" applyBorder="1" applyAlignment="1">
      <alignment horizontal="center"/>
    </xf>
    <xf numFmtId="0" fontId="24" fillId="0" borderId="19" xfId="0" applyFont="1" applyFill="1" applyBorder="1" applyAlignment="1">
      <alignment horizontal="center"/>
    </xf>
    <xf numFmtId="0" fontId="5" fillId="0" borderId="12" xfId="0" applyFont="1" applyFill="1" applyBorder="1" applyAlignment="1">
      <alignment horizontal="center" vertical="center"/>
    </xf>
    <xf numFmtId="0" fontId="5" fillId="0" borderId="13" xfId="0" applyFont="1" applyFill="1" applyBorder="1" applyAlignment="1">
      <alignment horizontal="center" vertical="center"/>
    </xf>
    <xf numFmtId="0" fontId="5" fillId="0" borderId="14" xfId="0" applyFont="1" applyFill="1" applyBorder="1" applyAlignment="1">
      <alignment horizontal="center" vertical="center"/>
    </xf>
    <xf numFmtId="183" fontId="4" fillId="2" borderId="39" xfId="28" applyNumberFormat="1" applyFont="1" applyFill="1" applyBorder="1" applyAlignment="1" applyProtection="1">
      <alignment horizontal="center" vertical="center"/>
    </xf>
    <xf numFmtId="183" fontId="4" fillId="2" borderId="42" xfId="28" applyNumberFormat="1" applyFont="1" applyFill="1" applyBorder="1" applyAlignment="1" applyProtection="1">
      <alignment horizontal="center" vertical="center"/>
    </xf>
    <xf numFmtId="2" fontId="4" fillId="3" borderId="29" xfId="0" applyNumberFormat="1" applyFont="1" applyFill="1" applyBorder="1" applyAlignment="1" applyProtection="1">
      <alignment horizontal="center" vertical="center"/>
      <protection locked="0"/>
    </xf>
    <xf numFmtId="2" fontId="4" fillId="3" borderId="54" xfId="0" applyNumberFormat="1" applyFont="1" applyFill="1" applyBorder="1" applyAlignment="1" applyProtection="1">
      <alignment horizontal="center" vertical="center"/>
      <protection locked="0"/>
    </xf>
    <xf numFmtId="185" fontId="4" fillId="38" borderId="55" xfId="28" applyNumberFormat="1" applyFont="1" applyBorder="1" applyAlignment="1" applyProtection="1">
      <alignment horizontal="center" vertical="center"/>
      <protection locked="0"/>
    </xf>
    <xf numFmtId="185" fontId="4" fillId="38" borderId="41" xfId="28" applyNumberFormat="1" applyFont="1" applyBorder="1" applyAlignment="1" applyProtection="1">
      <alignment horizontal="center" vertical="center"/>
      <protection locked="0"/>
    </xf>
    <xf numFmtId="0" fontId="4" fillId="2" borderId="4" xfId="0" applyFont="1" applyFill="1" applyBorder="1" applyAlignment="1">
      <alignment horizontal="left" vertical="top"/>
    </xf>
    <xf numFmtId="0" fontId="4" fillId="2" borderId="5" xfId="0" applyFont="1" applyFill="1" applyBorder="1" applyAlignment="1">
      <alignment horizontal="left" vertical="top"/>
    </xf>
    <xf numFmtId="0" fontId="4" fillId="0" borderId="17"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15" xfId="0" applyFont="1" applyFill="1" applyBorder="1" applyAlignment="1">
      <alignment horizontal="center" vertical="center" wrapText="1"/>
    </xf>
    <xf numFmtId="166" fontId="4" fillId="2" borderId="10" xfId="28" applyNumberFormat="1" applyFont="1" applyFill="1" applyBorder="1" applyAlignment="1">
      <alignment horizontal="center" vertical="top"/>
    </xf>
    <xf numFmtId="166" fontId="4" fillId="2" borderId="8" xfId="28" applyNumberFormat="1" applyFont="1" applyFill="1" applyBorder="1" applyAlignment="1">
      <alignment horizontal="center" vertical="top"/>
    </xf>
    <xf numFmtId="166" fontId="4" fillId="2" borderId="11" xfId="28" applyNumberFormat="1" applyFont="1" applyFill="1" applyBorder="1" applyAlignment="1">
      <alignment horizontal="center" vertical="top"/>
    </xf>
    <xf numFmtId="166" fontId="4" fillId="2" borderId="85" xfId="28" applyNumberFormat="1" applyFont="1" applyFill="1" applyBorder="1" applyAlignment="1">
      <alignment horizontal="center" vertical="top"/>
    </xf>
    <xf numFmtId="166" fontId="5" fillId="2" borderId="33" xfId="0" applyNumberFormat="1" applyFont="1" applyFill="1" applyBorder="1" applyAlignment="1">
      <alignment horizontal="center"/>
    </xf>
    <xf numFmtId="0" fontId="0" fillId="0" borderId="0" xfId="0" applyFill="1" applyBorder="1" applyAlignment="1">
      <alignment vertical="top" wrapText="1"/>
    </xf>
    <xf numFmtId="0" fontId="4" fillId="2" borderId="66" xfId="0" applyFont="1" applyFill="1" applyBorder="1" applyAlignment="1">
      <alignment horizontal="left"/>
    </xf>
    <xf numFmtId="0" fontId="4" fillId="2" borderId="73" xfId="0" applyFont="1" applyFill="1" applyBorder="1" applyAlignment="1">
      <alignment horizontal="left"/>
    </xf>
    <xf numFmtId="0" fontId="44" fillId="2" borderId="63" xfId="26" applyFont="1" applyFill="1" applyBorder="1" applyAlignment="1">
      <alignment horizontal="left" vertical="center" wrapText="1"/>
    </xf>
    <xf numFmtId="0" fontId="44" fillId="2" borderId="65" xfId="26" applyFont="1" applyFill="1" applyBorder="1" applyAlignment="1">
      <alignment horizontal="left" vertical="center" wrapText="1"/>
    </xf>
    <xf numFmtId="180" fontId="5" fillId="2" borderId="66" xfId="0" applyNumberFormat="1" applyFont="1" applyFill="1" applyBorder="1" applyAlignment="1">
      <alignment horizontal="center" vertical="center" wrapText="1"/>
    </xf>
    <xf numFmtId="180" fontId="5" fillId="2" borderId="73" xfId="0" applyNumberFormat="1" applyFont="1" applyFill="1" applyBorder="1" applyAlignment="1">
      <alignment horizontal="center" vertical="center" wrapText="1"/>
    </xf>
    <xf numFmtId="170" fontId="13" fillId="0" borderId="20" xfId="26" applyNumberFormat="1" applyFont="1" applyFill="1" applyBorder="1" applyAlignment="1">
      <alignment horizontal="center" vertical="center"/>
    </xf>
    <xf numFmtId="170" fontId="13" fillId="0" borderId="0" xfId="26" applyNumberFormat="1" applyFont="1" applyFill="1" applyBorder="1" applyAlignment="1">
      <alignment horizontal="center" vertical="center"/>
    </xf>
    <xf numFmtId="0" fontId="44" fillId="2" borderId="34" xfId="26" applyFont="1" applyFill="1" applyBorder="1" applyAlignment="1">
      <alignment horizontal="left" vertical="center" wrapText="1"/>
    </xf>
    <xf numFmtId="0" fontId="44" fillId="2" borderId="37" xfId="26" applyFont="1" applyFill="1" applyBorder="1" applyAlignment="1">
      <alignment horizontal="left" vertical="center" wrapText="1"/>
    </xf>
    <xf numFmtId="0" fontId="0" fillId="0" borderId="22" xfId="0" applyFill="1" applyBorder="1" applyAlignment="1">
      <alignment horizontal="center"/>
    </xf>
    <xf numFmtId="184" fontId="13" fillId="2" borderId="34" xfId="26" applyNumberFormat="1" applyFont="1" applyFill="1" applyBorder="1" applyAlignment="1">
      <alignment horizontal="center" vertical="center"/>
    </xf>
    <xf numFmtId="184" fontId="13" fillId="2" borderId="37" xfId="26" applyNumberFormat="1" applyFont="1" applyFill="1" applyBorder="1" applyAlignment="1">
      <alignment horizontal="center" vertical="center"/>
    </xf>
    <xf numFmtId="0" fontId="2" fillId="2" borderId="12" xfId="0" applyFont="1" applyFill="1" applyBorder="1" applyAlignment="1">
      <alignment horizontal="center"/>
    </xf>
    <xf numFmtId="0" fontId="2" fillId="2" borderId="14" xfId="0" applyFont="1" applyFill="1" applyBorder="1" applyAlignment="1">
      <alignment horizontal="center"/>
    </xf>
    <xf numFmtId="0" fontId="2" fillId="2" borderId="66" xfId="0" applyFont="1" applyFill="1" applyBorder="1" applyAlignment="1">
      <alignment horizontal="center"/>
    </xf>
    <xf numFmtId="0" fontId="2" fillId="2" borderId="73" xfId="0" applyFont="1" applyFill="1" applyBorder="1" applyAlignment="1">
      <alignment horizontal="center"/>
    </xf>
    <xf numFmtId="170" fontId="13" fillId="0" borderId="15" xfId="26" applyNumberFormat="1" applyFont="1" applyFill="1" applyBorder="1" applyAlignment="1">
      <alignment horizontal="center" vertical="center"/>
    </xf>
    <xf numFmtId="0" fontId="4" fillId="2" borderId="45" xfId="0" applyFont="1" applyFill="1" applyBorder="1" applyAlignment="1">
      <alignment horizontal="left" vertical="top"/>
    </xf>
    <xf numFmtId="0" fontId="4" fillId="2" borderId="28" xfId="0" applyFont="1" applyFill="1" applyBorder="1" applyAlignment="1">
      <alignment horizontal="left" vertical="top"/>
    </xf>
    <xf numFmtId="167" fontId="4" fillId="38" borderId="28" xfId="28" applyNumberFormat="1" applyFont="1" applyBorder="1" applyAlignment="1" applyProtection="1">
      <alignment horizontal="center" vertical="center"/>
      <protection locked="0"/>
    </xf>
    <xf numFmtId="167" fontId="4" fillId="38" borderId="52" xfId="28" applyNumberFormat="1" applyFont="1" applyBorder="1" applyAlignment="1" applyProtection="1">
      <alignment horizontal="center" vertical="center"/>
      <protection locked="0"/>
    </xf>
    <xf numFmtId="0" fontId="4" fillId="2" borderId="48" xfId="0" applyFont="1" applyFill="1" applyBorder="1" applyAlignment="1">
      <alignment horizontal="left" vertical="top"/>
    </xf>
    <xf numFmtId="0" fontId="4" fillId="2" borderId="40" xfId="0" applyFont="1" applyFill="1" applyBorder="1" applyAlignment="1">
      <alignment horizontal="left" vertical="top"/>
    </xf>
    <xf numFmtId="0" fontId="4" fillId="2" borderId="78" xfId="0" applyFont="1" applyFill="1" applyBorder="1" applyAlignment="1">
      <alignment horizontal="left" vertical="top"/>
    </xf>
    <xf numFmtId="166" fontId="4" fillId="2" borderId="90" xfId="28" applyNumberFormat="1" applyFont="1" applyFill="1" applyBorder="1" applyAlignment="1">
      <alignment horizontal="center" vertical="top"/>
    </xf>
    <xf numFmtId="166" fontId="4" fillId="2" borderId="91" xfId="28" applyNumberFormat="1" applyFont="1" applyFill="1" applyBorder="1" applyAlignment="1">
      <alignment horizontal="center" vertical="top"/>
    </xf>
    <xf numFmtId="0" fontId="1" fillId="2" borderId="21" xfId="0" applyFont="1" applyFill="1" applyBorder="1" applyAlignment="1" applyProtection="1">
      <alignment horizontal="left"/>
    </xf>
    <xf numFmtId="0" fontId="1" fillId="2" borderId="113" xfId="0" applyFont="1" applyFill="1" applyBorder="1" applyAlignment="1" applyProtection="1">
      <alignment horizontal="left"/>
    </xf>
    <xf numFmtId="0" fontId="3" fillId="0" borderId="22" xfId="0" applyFont="1" applyFill="1" applyBorder="1" applyAlignment="1" applyProtection="1">
      <alignment horizontal="left"/>
    </xf>
    <xf numFmtId="0" fontId="3" fillId="0" borderId="24" xfId="0" applyFont="1" applyFill="1" applyBorder="1" applyAlignment="1" applyProtection="1">
      <alignment horizontal="left"/>
    </xf>
    <xf numFmtId="0" fontId="1" fillId="0" borderId="21" xfId="0" applyFont="1" applyFill="1" applyBorder="1" applyAlignment="1" applyProtection="1">
      <alignment horizontal="left"/>
    </xf>
    <xf numFmtId="0" fontId="1" fillId="0" borderId="22" xfId="0" applyFont="1" applyFill="1" applyBorder="1" applyAlignment="1" applyProtection="1">
      <alignment horizontal="left"/>
    </xf>
    <xf numFmtId="0" fontId="1" fillId="0" borderId="24" xfId="0" applyFont="1" applyFill="1" applyBorder="1" applyAlignment="1" applyProtection="1">
      <alignment horizontal="left"/>
    </xf>
    <xf numFmtId="0" fontId="62" fillId="0" borderId="0" xfId="0" applyFont="1" applyAlignment="1">
      <alignment horizontal="left" vertical="center" wrapText="1"/>
    </xf>
    <xf numFmtId="0" fontId="64" fillId="10" borderId="17" xfId="0" applyFont="1" applyFill="1" applyBorder="1" applyAlignment="1" applyProtection="1">
      <alignment horizontal="left" vertical="center" wrapText="1"/>
      <protection hidden="1"/>
    </xf>
    <xf numFmtId="0" fontId="64" fillId="10" borderId="18" xfId="0" applyFont="1" applyFill="1" applyBorder="1" applyAlignment="1" applyProtection="1">
      <alignment horizontal="left" vertical="center" wrapText="1"/>
      <protection hidden="1"/>
    </xf>
    <xf numFmtId="0" fontId="64" fillId="10" borderId="19" xfId="0" applyFont="1" applyFill="1" applyBorder="1" applyAlignment="1" applyProtection="1">
      <alignment horizontal="left" vertical="center" wrapText="1"/>
      <protection hidden="1"/>
    </xf>
    <xf numFmtId="0" fontId="64" fillId="10" borderId="20" xfId="0" applyFont="1" applyFill="1" applyBorder="1" applyAlignment="1" applyProtection="1">
      <alignment horizontal="left" vertical="center"/>
      <protection hidden="1"/>
    </xf>
    <xf numFmtId="0" fontId="64" fillId="10" borderId="0" xfId="0" applyFont="1" applyFill="1" applyBorder="1" applyAlignment="1" applyProtection="1">
      <alignment horizontal="left" vertical="center"/>
      <protection hidden="1"/>
    </xf>
    <xf numFmtId="0" fontId="64" fillId="10" borderId="15" xfId="0" applyFont="1" applyFill="1" applyBorder="1" applyAlignment="1" applyProtection="1">
      <alignment horizontal="left" vertical="center"/>
      <protection hidden="1"/>
    </xf>
    <xf numFmtId="0" fontId="65" fillId="0" borderId="21" xfId="0" applyFont="1" applyFill="1" applyBorder="1" applyAlignment="1" applyProtection="1">
      <protection locked="0" hidden="1"/>
    </xf>
  </cellXfs>
  <cellStyles count="47">
    <cellStyle name="20 % - Akzent1" xfId="1" builtinId="30" customBuiltin="1"/>
    <cellStyle name="20 % - Akzent2" xfId="2" builtinId="34" customBuiltin="1"/>
    <cellStyle name="20 % - Akzent3" xfId="3" builtinId="38" customBuiltin="1"/>
    <cellStyle name="20 % - Akzent4" xfId="4" builtinId="42" customBuiltin="1"/>
    <cellStyle name="20 % - Akzent5" xfId="5" builtinId="46" customBuiltin="1"/>
    <cellStyle name="20 % - Akzent6" xfId="6" builtinId="50" customBuiltin="1"/>
    <cellStyle name="40 % - Akzent1" xfId="7" builtinId="31" customBuiltin="1"/>
    <cellStyle name="40 % - Akzent2" xfId="8" builtinId="35" customBuiltin="1"/>
    <cellStyle name="40 % - Akzent3" xfId="9" builtinId="39" customBuiltin="1"/>
    <cellStyle name="40 % - Akzent4" xfId="10" builtinId="43" customBuiltin="1"/>
    <cellStyle name="40 % - Akzent5" xfId="11" builtinId="47" customBuiltin="1"/>
    <cellStyle name="40 % - Akzent6" xfId="12" builtinId="51" customBuiltin="1"/>
    <cellStyle name="60 % - Akzent1" xfId="13" builtinId="32" customBuiltin="1"/>
    <cellStyle name="60 % - Akzent2" xfId="14" builtinId="36" customBuiltin="1"/>
    <cellStyle name="60 % - Akzent3" xfId="15" builtinId="40" customBuiltin="1"/>
    <cellStyle name="60 % - Akzent4" xfId="16" builtinId="44" customBuiltin="1"/>
    <cellStyle name="60 % - Akzent5" xfId="17" builtinId="48" customBuiltin="1"/>
    <cellStyle name="60 % - Akzent6" xfId="18" builtinId="52" customBuiltin="1"/>
    <cellStyle name="Akzent1" xfId="19" builtinId="29" customBuiltin="1"/>
    <cellStyle name="Akzent2" xfId="20" builtinId="33" customBuiltin="1"/>
    <cellStyle name="Akzent3" xfId="21" builtinId="37" customBuiltin="1"/>
    <cellStyle name="Akzent4" xfId="22" builtinId="41" customBuiltin="1"/>
    <cellStyle name="Akzent5" xfId="23" builtinId="45" customBuiltin="1"/>
    <cellStyle name="Akzent6" xfId="24" builtinId="49" customBuiltin="1"/>
    <cellStyle name="Ausgabe" xfId="25" builtinId="21" customBuiltin="1"/>
    <cellStyle name="Berechnung" xfId="26" builtinId="22" customBuiltin="1"/>
    <cellStyle name="Berechnung 2" xfId="27" xr:uid="{00000000-0005-0000-0000-00001A000000}"/>
    <cellStyle name="Eingabe" xfId="28" builtinId="20" customBuiltin="1"/>
    <cellStyle name="Eingabe 2" xfId="29" xr:uid="{00000000-0005-0000-0000-00001C000000}"/>
    <cellStyle name="Ergebnis" xfId="30" builtinId="25" customBuiltin="1"/>
    <cellStyle name="Erklärender Text" xfId="31" builtinId="53" customBuiltin="1"/>
    <cellStyle name="Gut" xfId="32" builtinId="26" customBuiltin="1"/>
    <cellStyle name="Link" xfId="33" builtinId="8"/>
    <cellStyle name="Neutral" xfId="34" builtinId="28" customBuiltin="1"/>
    <cellStyle name="Notiz 2" xfId="35" xr:uid="{00000000-0005-0000-0000-000022000000}"/>
    <cellStyle name="Prozent" xfId="36" builtinId="5"/>
    <cellStyle name="Schlecht" xfId="37" builtinId="27" customBuiltin="1"/>
    <cellStyle name="Standard" xfId="0" builtinId="0"/>
    <cellStyle name="Standard 2" xfId="38" xr:uid="{00000000-0005-0000-0000-000026000000}"/>
    <cellStyle name="Überschrift" xfId="39" builtinId="15" customBuiltin="1"/>
    <cellStyle name="Überschrift 1" xfId="40" builtinId="16" customBuiltin="1"/>
    <cellStyle name="Überschrift 2" xfId="41" builtinId="17" customBuiltin="1"/>
    <cellStyle name="Überschrift 3" xfId="42" builtinId="18" customBuiltin="1"/>
    <cellStyle name="Überschrift 4" xfId="43" builtinId="19" customBuiltin="1"/>
    <cellStyle name="Verknüpfte Zelle" xfId="44" builtinId="24" customBuiltin="1"/>
    <cellStyle name="Warnender Text" xfId="45" builtinId="11" customBuiltin="1"/>
    <cellStyle name="Zelle überprüfen" xfId="46" builtinId="23" customBuiltin="1"/>
  </cellStyles>
  <dxfs count="20">
    <dxf>
      <font>
        <condense val="0"/>
        <extend val="0"/>
        <color rgb="FF9C0006"/>
      </font>
      <fill>
        <patternFill>
          <bgColor rgb="FFFFC7CE"/>
        </patternFill>
      </fill>
    </dxf>
    <dxf>
      <font>
        <b/>
        <i val="0"/>
        <color rgb="FFFF0000"/>
      </font>
      <fill>
        <patternFill>
          <bgColor rgb="FFFFAFAF"/>
        </patternFill>
      </fill>
    </dxf>
    <dxf>
      <font>
        <color rgb="FFFF0000"/>
      </font>
      <fill>
        <patternFill>
          <bgColor rgb="FFFFFFCC"/>
        </patternFill>
      </fill>
    </dxf>
    <dxf>
      <font>
        <condense val="0"/>
        <extend val="0"/>
        <color indexed="17"/>
      </font>
      <fill>
        <patternFill>
          <bgColor indexed="42"/>
        </patternFill>
      </fill>
    </dxf>
    <dxf>
      <font>
        <color rgb="FFFF0000"/>
      </font>
      <fill>
        <patternFill>
          <bgColor rgb="FFFFFFCC"/>
        </patternFill>
      </fill>
    </dxf>
    <dxf>
      <font>
        <condense val="0"/>
        <extend val="0"/>
        <color rgb="FF006100"/>
      </font>
      <fill>
        <patternFill>
          <bgColor rgb="FFC6EFCE"/>
        </patternFill>
      </fill>
    </dxf>
    <dxf>
      <font>
        <condense val="0"/>
        <extend val="0"/>
        <color rgb="FF9C0006"/>
      </font>
      <fill>
        <patternFill>
          <bgColor rgb="FFFFC7CE"/>
        </patternFill>
      </fill>
    </dxf>
    <dxf>
      <font>
        <color rgb="FFFF0000"/>
      </font>
      <fill>
        <patternFill>
          <bgColor rgb="FFFFFFCC"/>
        </patternFill>
      </fill>
    </dxf>
    <dxf>
      <font>
        <condense val="0"/>
        <extend val="0"/>
        <color rgb="FF006100"/>
      </font>
      <fill>
        <patternFill>
          <bgColor rgb="FFC6EFCE"/>
        </patternFill>
      </fill>
    </dxf>
    <dxf>
      <font>
        <condense val="0"/>
        <extend val="0"/>
        <color rgb="FF9C0006"/>
      </font>
      <fill>
        <patternFill>
          <bgColor rgb="FFFFC7CE"/>
        </patternFill>
      </fill>
    </dxf>
    <dxf>
      <font>
        <color rgb="FFFF0000"/>
      </font>
      <fill>
        <patternFill>
          <bgColor rgb="FFFFFFCC"/>
        </patternFill>
      </fill>
    </dxf>
    <dxf>
      <font>
        <condense val="0"/>
        <extend val="0"/>
        <color rgb="FF006100"/>
      </font>
      <fill>
        <patternFill>
          <bgColor rgb="FFC6EFCE"/>
        </patternFill>
      </fill>
    </dxf>
    <dxf>
      <font>
        <condense val="0"/>
        <extend val="0"/>
        <color rgb="FF9C0006"/>
      </font>
      <fill>
        <patternFill>
          <bgColor rgb="FFFFC7CE"/>
        </patternFill>
      </fill>
    </dxf>
    <dxf>
      <font>
        <color rgb="FFFF0000"/>
      </font>
      <fill>
        <patternFill>
          <bgColor rgb="FFFFFFC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de-DE"/>
              <a:t>Maßgebliche Regenkurven und Sickerlinie</a:t>
            </a:r>
          </a:p>
        </c:rich>
      </c:tx>
      <c:layout>
        <c:manualLayout>
          <c:xMode val="edge"/>
          <c:yMode val="edge"/>
          <c:x val="0.18183569027115756"/>
          <c:y val="4.3117744610281922E-2"/>
        </c:manualLayout>
      </c:layout>
      <c:overlay val="0"/>
      <c:spPr>
        <a:noFill/>
        <a:ln w="25400">
          <a:noFill/>
        </a:ln>
      </c:spPr>
    </c:title>
    <c:autoTitleDeleted val="0"/>
    <c:plotArea>
      <c:layout>
        <c:manualLayout>
          <c:layoutTarget val="inner"/>
          <c:xMode val="edge"/>
          <c:yMode val="edge"/>
          <c:x val="0.11505638459057563"/>
          <c:y val="0.15203144383071554"/>
          <c:w val="0.82549158840698034"/>
          <c:h val="0.61615883835416274"/>
        </c:manualLayout>
      </c:layout>
      <c:scatterChart>
        <c:scatterStyle val="lineMarker"/>
        <c:varyColors val="0"/>
        <c:ser>
          <c:idx val="0"/>
          <c:order val="0"/>
          <c:tx>
            <c:v>Regen A</c:v>
          </c:tx>
          <c:spPr>
            <a:ln w="25400">
              <a:solidFill>
                <a:srgbClr val="00CCFF"/>
              </a:solidFill>
              <a:prstDash val="solid"/>
            </a:ln>
          </c:spPr>
          <c:marker>
            <c:symbol val="none"/>
          </c:marker>
          <c:xVal>
            <c:numRef>
              <c:f>'Sickermulden-becken'!$Q$35:$Q$56</c:f>
              <c:numCache>
                <c:formatCode>General</c:formatCode>
                <c:ptCount val="22"/>
                <c:pt idx="0">
                  <c:v>0</c:v>
                </c:pt>
                <c:pt idx="1">
                  <c:v>5</c:v>
                </c:pt>
                <c:pt idx="2">
                  <c:v>10</c:v>
                </c:pt>
                <c:pt idx="3">
                  <c:v>15</c:v>
                </c:pt>
                <c:pt idx="4">
                  <c:v>20</c:v>
                </c:pt>
                <c:pt idx="5">
                  <c:v>30</c:v>
                </c:pt>
                <c:pt idx="6">
                  <c:v>45</c:v>
                </c:pt>
                <c:pt idx="7">
                  <c:v>60</c:v>
                </c:pt>
                <c:pt idx="8">
                  <c:v>90</c:v>
                </c:pt>
                <c:pt idx="9">
                  <c:v>120</c:v>
                </c:pt>
                <c:pt idx="10">
                  <c:v>180</c:v>
                </c:pt>
                <c:pt idx="11">
                  <c:v>240</c:v>
                </c:pt>
                <c:pt idx="12">
                  <c:v>360</c:v>
                </c:pt>
                <c:pt idx="13">
                  <c:v>540</c:v>
                </c:pt>
                <c:pt idx="14">
                  <c:v>720</c:v>
                </c:pt>
                <c:pt idx="15">
                  <c:v>1080</c:v>
                </c:pt>
                <c:pt idx="16">
                  <c:v>1440</c:v>
                </c:pt>
                <c:pt idx="17">
                  <c:v>2880</c:v>
                </c:pt>
                <c:pt idx="18">
                  <c:v>4320</c:v>
                </c:pt>
                <c:pt idx="19">
                  <c:v>5760</c:v>
                </c:pt>
                <c:pt idx="20">
                  <c:v>7200</c:v>
                </c:pt>
                <c:pt idx="21">
                  <c:v>8640</c:v>
                </c:pt>
              </c:numCache>
            </c:numRef>
          </c:xVal>
          <c:yVal>
            <c:numRef>
              <c:f>'Sickermulden-becken'!$C$35:$C$56</c:f>
              <c:numCache>
                <c:formatCode>0.00</c:formatCode>
                <c:ptCount val="22"/>
                <c:pt idx="0">
                  <c:v>0</c:v>
                </c:pt>
                <c:pt idx="1">
                  <c:v>6.7</c:v>
                </c:pt>
                <c:pt idx="2">
                  <c:v>8.4</c:v>
                </c:pt>
                <c:pt idx="3">
                  <c:v>9.6</c:v>
                </c:pt>
                <c:pt idx="4">
                  <c:v>10.6</c:v>
                </c:pt>
                <c:pt idx="5">
                  <c:v>12.1</c:v>
                </c:pt>
                <c:pt idx="6">
                  <c:v>13.8</c:v>
                </c:pt>
                <c:pt idx="7">
                  <c:v>15.2</c:v>
                </c:pt>
                <c:pt idx="8">
                  <c:v>17.3</c:v>
                </c:pt>
                <c:pt idx="9">
                  <c:v>19</c:v>
                </c:pt>
                <c:pt idx="10">
                  <c:v>21.7</c:v>
                </c:pt>
                <c:pt idx="11">
                  <c:v>23.9</c:v>
                </c:pt>
                <c:pt idx="12">
                  <c:v>28.2</c:v>
                </c:pt>
                <c:pt idx="13">
                  <c:v>33.1</c:v>
                </c:pt>
                <c:pt idx="14">
                  <c:v>36.9</c:v>
                </c:pt>
                <c:pt idx="15">
                  <c:v>42.6</c:v>
                </c:pt>
                <c:pt idx="16">
                  <c:v>44.6</c:v>
                </c:pt>
                <c:pt idx="17">
                  <c:v>53.8</c:v>
                </c:pt>
                <c:pt idx="18">
                  <c:v>60.2</c:v>
                </c:pt>
                <c:pt idx="19">
                  <c:v>66.3</c:v>
                </c:pt>
                <c:pt idx="20">
                  <c:v>71.3</c:v>
                </c:pt>
                <c:pt idx="21">
                  <c:v>76.2</c:v>
                </c:pt>
              </c:numCache>
            </c:numRef>
          </c:yVal>
          <c:smooth val="0"/>
          <c:extLst>
            <c:ext xmlns:c16="http://schemas.microsoft.com/office/drawing/2014/chart" uri="{C3380CC4-5D6E-409C-BE32-E72D297353CC}">
              <c16:uniqueId val="{00000000-389D-4C97-B83A-66813A4C6C11}"/>
            </c:ext>
          </c:extLst>
        </c:ser>
        <c:ser>
          <c:idx val="3"/>
          <c:order val="1"/>
          <c:tx>
            <c:v>Regen B</c:v>
          </c:tx>
          <c:spPr>
            <a:ln w="25400">
              <a:solidFill>
                <a:srgbClr val="99CC00"/>
              </a:solidFill>
              <a:prstDash val="solid"/>
            </a:ln>
          </c:spPr>
          <c:marker>
            <c:symbol val="none"/>
          </c:marker>
          <c:xVal>
            <c:numRef>
              <c:f>'Sickermulden-becken'!$Q$35:$Q$56</c:f>
              <c:numCache>
                <c:formatCode>General</c:formatCode>
                <c:ptCount val="22"/>
                <c:pt idx="0">
                  <c:v>0</c:v>
                </c:pt>
                <c:pt idx="1">
                  <c:v>5</c:v>
                </c:pt>
                <c:pt idx="2">
                  <c:v>10</c:v>
                </c:pt>
                <c:pt idx="3">
                  <c:v>15</c:v>
                </c:pt>
                <c:pt idx="4">
                  <c:v>20</c:v>
                </c:pt>
                <c:pt idx="5">
                  <c:v>30</c:v>
                </c:pt>
                <c:pt idx="6">
                  <c:v>45</c:v>
                </c:pt>
                <c:pt idx="7">
                  <c:v>60</c:v>
                </c:pt>
                <c:pt idx="8">
                  <c:v>90</c:v>
                </c:pt>
                <c:pt idx="9">
                  <c:v>120</c:v>
                </c:pt>
                <c:pt idx="10">
                  <c:v>180</c:v>
                </c:pt>
                <c:pt idx="11">
                  <c:v>240</c:v>
                </c:pt>
                <c:pt idx="12">
                  <c:v>360</c:v>
                </c:pt>
                <c:pt idx="13">
                  <c:v>540</c:v>
                </c:pt>
                <c:pt idx="14">
                  <c:v>720</c:v>
                </c:pt>
                <c:pt idx="15">
                  <c:v>1080</c:v>
                </c:pt>
                <c:pt idx="16">
                  <c:v>1440</c:v>
                </c:pt>
                <c:pt idx="17">
                  <c:v>2880</c:v>
                </c:pt>
                <c:pt idx="18">
                  <c:v>4320</c:v>
                </c:pt>
                <c:pt idx="19">
                  <c:v>5760</c:v>
                </c:pt>
                <c:pt idx="20">
                  <c:v>7200</c:v>
                </c:pt>
                <c:pt idx="21">
                  <c:v>8640</c:v>
                </c:pt>
              </c:numCache>
            </c:numRef>
          </c:xVal>
          <c:yVal>
            <c:numRef>
              <c:f>'Sickermulden-becken'!$E$35:$E$56</c:f>
              <c:numCache>
                <c:formatCode>0.00</c:formatCode>
                <c:ptCount val="22"/>
                <c:pt idx="0">
                  <c:v>0</c:v>
                </c:pt>
                <c:pt idx="1">
                  <c:v>11.9</c:v>
                </c:pt>
                <c:pt idx="2">
                  <c:v>15</c:v>
                </c:pt>
                <c:pt idx="3">
                  <c:v>17.2</c:v>
                </c:pt>
                <c:pt idx="4">
                  <c:v>18.899999999999999</c:v>
                </c:pt>
                <c:pt idx="5">
                  <c:v>21.6</c:v>
                </c:pt>
                <c:pt idx="6">
                  <c:v>24.5</c:v>
                </c:pt>
                <c:pt idx="7">
                  <c:v>26.5</c:v>
                </c:pt>
                <c:pt idx="8">
                  <c:v>29.5</c:v>
                </c:pt>
                <c:pt idx="9">
                  <c:v>32</c:v>
                </c:pt>
                <c:pt idx="10">
                  <c:v>36.1</c:v>
                </c:pt>
                <c:pt idx="11">
                  <c:v>39.200000000000003</c:v>
                </c:pt>
                <c:pt idx="12">
                  <c:v>45.8</c:v>
                </c:pt>
                <c:pt idx="13">
                  <c:v>53.5</c:v>
                </c:pt>
                <c:pt idx="14">
                  <c:v>59.3</c:v>
                </c:pt>
                <c:pt idx="15">
                  <c:v>67.900000000000006</c:v>
                </c:pt>
                <c:pt idx="16">
                  <c:v>70.400000000000006</c:v>
                </c:pt>
                <c:pt idx="17">
                  <c:v>83.6</c:v>
                </c:pt>
                <c:pt idx="18">
                  <c:v>92.6</c:v>
                </c:pt>
                <c:pt idx="19">
                  <c:v>99.1</c:v>
                </c:pt>
                <c:pt idx="20">
                  <c:v>104.4</c:v>
                </c:pt>
                <c:pt idx="21">
                  <c:v>110.1</c:v>
                </c:pt>
              </c:numCache>
            </c:numRef>
          </c:yVal>
          <c:smooth val="0"/>
          <c:extLst>
            <c:ext xmlns:c16="http://schemas.microsoft.com/office/drawing/2014/chart" uri="{C3380CC4-5D6E-409C-BE32-E72D297353CC}">
              <c16:uniqueId val="{00000001-389D-4C97-B83A-66813A4C6C11}"/>
            </c:ext>
          </c:extLst>
        </c:ser>
        <c:ser>
          <c:idx val="6"/>
          <c:order val="2"/>
          <c:tx>
            <c:v>Regen C</c:v>
          </c:tx>
          <c:spPr>
            <a:ln w="25400">
              <a:solidFill>
                <a:srgbClr val="FFCC00"/>
              </a:solidFill>
              <a:prstDash val="solid"/>
            </a:ln>
          </c:spPr>
          <c:marker>
            <c:symbol val="none"/>
          </c:marker>
          <c:xVal>
            <c:numRef>
              <c:f>'Sickermulden-becken'!$Q$35:$Q$56</c:f>
              <c:numCache>
                <c:formatCode>General</c:formatCode>
                <c:ptCount val="22"/>
                <c:pt idx="0">
                  <c:v>0</c:v>
                </c:pt>
                <c:pt idx="1">
                  <c:v>5</c:v>
                </c:pt>
                <c:pt idx="2">
                  <c:v>10</c:v>
                </c:pt>
                <c:pt idx="3">
                  <c:v>15</c:v>
                </c:pt>
                <c:pt idx="4">
                  <c:v>20</c:v>
                </c:pt>
                <c:pt idx="5">
                  <c:v>30</c:v>
                </c:pt>
                <c:pt idx="6">
                  <c:v>45</c:v>
                </c:pt>
                <c:pt idx="7">
                  <c:v>60</c:v>
                </c:pt>
                <c:pt idx="8">
                  <c:v>90</c:v>
                </c:pt>
                <c:pt idx="9">
                  <c:v>120</c:v>
                </c:pt>
                <c:pt idx="10">
                  <c:v>180</c:v>
                </c:pt>
                <c:pt idx="11">
                  <c:v>240</c:v>
                </c:pt>
                <c:pt idx="12">
                  <c:v>360</c:v>
                </c:pt>
                <c:pt idx="13">
                  <c:v>540</c:v>
                </c:pt>
                <c:pt idx="14">
                  <c:v>720</c:v>
                </c:pt>
                <c:pt idx="15">
                  <c:v>1080</c:v>
                </c:pt>
                <c:pt idx="16">
                  <c:v>1440</c:v>
                </c:pt>
                <c:pt idx="17">
                  <c:v>2880</c:v>
                </c:pt>
                <c:pt idx="18">
                  <c:v>4320</c:v>
                </c:pt>
                <c:pt idx="19">
                  <c:v>5760</c:v>
                </c:pt>
                <c:pt idx="20">
                  <c:v>7200</c:v>
                </c:pt>
                <c:pt idx="21">
                  <c:v>8640</c:v>
                </c:pt>
              </c:numCache>
            </c:numRef>
          </c:xVal>
          <c:yVal>
            <c:numRef>
              <c:f>'Sickermulden-becken'!$G$35:$G$56</c:f>
              <c:numCache>
                <c:formatCode>0.00</c:formatCode>
                <c:ptCount val="22"/>
                <c:pt idx="0">
                  <c:v>0</c:v>
                </c:pt>
                <c:pt idx="1">
                  <c:v>17.600000000000001</c:v>
                </c:pt>
                <c:pt idx="2">
                  <c:v>22.1</c:v>
                </c:pt>
                <c:pt idx="3">
                  <c:v>25.7</c:v>
                </c:pt>
                <c:pt idx="4">
                  <c:v>28.1</c:v>
                </c:pt>
                <c:pt idx="5">
                  <c:v>32</c:v>
                </c:pt>
                <c:pt idx="6">
                  <c:v>36.1</c:v>
                </c:pt>
                <c:pt idx="7">
                  <c:v>38.9</c:v>
                </c:pt>
                <c:pt idx="8">
                  <c:v>43.1</c:v>
                </c:pt>
                <c:pt idx="9">
                  <c:v>46.7</c:v>
                </c:pt>
                <c:pt idx="10">
                  <c:v>52.2</c:v>
                </c:pt>
                <c:pt idx="11">
                  <c:v>56.4</c:v>
                </c:pt>
                <c:pt idx="12">
                  <c:v>65.2</c:v>
                </c:pt>
                <c:pt idx="13">
                  <c:v>76</c:v>
                </c:pt>
                <c:pt idx="14">
                  <c:v>84.3</c:v>
                </c:pt>
                <c:pt idx="15">
                  <c:v>95</c:v>
                </c:pt>
                <c:pt idx="16">
                  <c:v>99.4</c:v>
                </c:pt>
                <c:pt idx="17">
                  <c:v>117.2</c:v>
                </c:pt>
                <c:pt idx="18">
                  <c:v>128.6</c:v>
                </c:pt>
                <c:pt idx="19">
                  <c:v>137.1</c:v>
                </c:pt>
                <c:pt idx="20">
                  <c:v>143.80000000000001</c:v>
                </c:pt>
                <c:pt idx="21">
                  <c:v>149.6</c:v>
                </c:pt>
              </c:numCache>
            </c:numRef>
          </c:yVal>
          <c:smooth val="0"/>
          <c:extLst>
            <c:ext xmlns:c16="http://schemas.microsoft.com/office/drawing/2014/chart" uri="{C3380CC4-5D6E-409C-BE32-E72D297353CC}">
              <c16:uniqueId val="{00000002-389D-4C97-B83A-66813A4C6C11}"/>
            </c:ext>
          </c:extLst>
        </c:ser>
        <c:ser>
          <c:idx val="1"/>
          <c:order val="3"/>
          <c:tx>
            <c:v>Sickerlinie</c:v>
          </c:tx>
          <c:spPr>
            <a:ln w="25400" cap="rnd">
              <a:solidFill>
                <a:schemeClr val="accent6">
                  <a:lumMod val="75000"/>
                </a:schemeClr>
              </a:solidFill>
              <a:prstDash val="dash"/>
            </a:ln>
          </c:spPr>
          <c:marker>
            <c:symbol val="none"/>
          </c:marker>
          <c:xVal>
            <c:numRef>
              <c:f>'Sickermulden-becken'!$Q$35:$Q$56</c:f>
              <c:numCache>
                <c:formatCode>General</c:formatCode>
                <c:ptCount val="22"/>
                <c:pt idx="0">
                  <c:v>0</c:v>
                </c:pt>
                <c:pt idx="1">
                  <c:v>5</c:v>
                </c:pt>
                <c:pt idx="2">
                  <c:v>10</c:v>
                </c:pt>
                <c:pt idx="3">
                  <c:v>15</c:v>
                </c:pt>
                <c:pt idx="4">
                  <c:v>20</c:v>
                </c:pt>
                <c:pt idx="5">
                  <c:v>30</c:v>
                </c:pt>
                <c:pt idx="6">
                  <c:v>45</c:v>
                </c:pt>
                <c:pt idx="7">
                  <c:v>60</c:v>
                </c:pt>
                <c:pt idx="8">
                  <c:v>90</c:v>
                </c:pt>
                <c:pt idx="9">
                  <c:v>120</c:v>
                </c:pt>
                <c:pt idx="10">
                  <c:v>180</c:v>
                </c:pt>
                <c:pt idx="11">
                  <c:v>240</c:v>
                </c:pt>
                <c:pt idx="12">
                  <c:v>360</c:v>
                </c:pt>
                <c:pt idx="13">
                  <c:v>540</c:v>
                </c:pt>
                <c:pt idx="14">
                  <c:v>720</c:v>
                </c:pt>
                <c:pt idx="15">
                  <c:v>1080</c:v>
                </c:pt>
                <c:pt idx="16">
                  <c:v>1440</c:v>
                </c:pt>
                <c:pt idx="17">
                  <c:v>2880</c:v>
                </c:pt>
                <c:pt idx="18">
                  <c:v>4320</c:v>
                </c:pt>
                <c:pt idx="19">
                  <c:v>5760</c:v>
                </c:pt>
                <c:pt idx="20">
                  <c:v>7200</c:v>
                </c:pt>
                <c:pt idx="21">
                  <c:v>8640</c:v>
                </c:pt>
              </c:numCache>
            </c:numRef>
          </c:xVal>
          <c:yVal>
            <c:numRef>
              <c:f>'Sickermulden-becken'!$R$35:$R$56</c:f>
              <c:numCache>
                <c:formatCode>0.00</c:formatCode>
                <c:ptCount val="22"/>
                <c:pt idx="0">
                  <c:v>0</c:v>
                </c:pt>
                <c:pt idx="1">
                  <c:v>0.18025751072961374</c:v>
                </c:pt>
                <c:pt idx="2">
                  <c:v>0.36051502145922748</c:v>
                </c:pt>
                <c:pt idx="3">
                  <c:v>0.54077253218884125</c:v>
                </c:pt>
                <c:pt idx="4">
                  <c:v>0.72103004291845496</c:v>
                </c:pt>
                <c:pt idx="5">
                  <c:v>1.0815450643776825</c:v>
                </c:pt>
                <c:pt idx="6">
                  <c:v>1.6223175965665237</c:v>
                </c:pt>
                <c:pt idx="7">
                  <c:v>2.163090128755365</c:v>
                </c:pt>
                <c:pt idx="8">
                  <c:v>3.2446351931330475</c:v>
                </c:pt>
                <c:pt idx="9">
                  <c:v>4.32618025751073</c:v>
                </c:pt>
                <c:pt idx="10">
                  <c:v>6.489270386266095</c:v>
                </c:pt>
                <c:pt idx="11">
                  <c:v>8.65236051502146</c:v>
                </c:pt>
                <c:pt idx="12">
                  <c:v>12.97854077253219</c:v>
                </c:pt>
                <c:pt idx="13">
                  <c:v>19.467811158798284</c:v>
                </c:pt>
                <c:pt idx="14">
                  <c:v>25.95708154506438</c:v>
                </c:pt>
                <c:pt idx="15">
                  <c:v>38.935622317596568</c:v>
                </c:pt>
                <c:pt idx="16">
                  <c:v>51.91416309012876</c:v>
                </c:pt>
                <c:pt idx="17">
                  <c:v>103.82832618025752</c:v>
                </c:pt>
                <c:pt idx="18">
                  <c:v>155.74248927038627</c:v>
                </c:pt>
                <c:pt idx="19">
                  <c:v>207.65665236051504</c:v>
                </c:pt>
                <c:pt idx="20">
                  <c:v>259.57081545064381</c:v>
                </c:pt>
                <c:pt idx="21">
                  <c:v>311.48497854077254</c:v>
                </c:pt>
              </c:numCache>
            </c:numRef>
          </c:yVal>
          <c:smooth val="0"/>
          <c:extLst>
            <c:ext xmlns:c16="http://schemas.microsoft.com/office/drawing/2014/chart" uri="{C3380CC4-5D6E-409C-BE32-E72D297353CC}">
              <c16:uniqueId val="{00000003-389D-4C97-B83A-66813A4C6C11}"/>
            </c:ext>
          </c:extLst>
        </c:ser>
        <c:dLbls>
          <c:showLegendKey val="0"/>
          <c:showVal val="0"/>
          <c:showCatName val="0"/>
          <c:showSerName val="0"/>
          <c:showPercent val="0"/>
          <c:showBubbleSize val="0"/>
        </c:dLbls>
        <c:axId val="1107926560"/>
        <c:axId val="1"/>
      </c:scatterChart>
      <c:valAx>
        <c:axId val="1107926560"/>
        <c:scaling>
          <c:orientation val="minMax"/>
        </c:scaling>
        <c:delete val="0"/>
        <c:axPos val="b"/>
        <c:minorGridlines/>
        <c:title>
          <c:tx>
            <c:rich>
              <a:bodyPr/>
              <a:lstStyle/>
              <a:p>
                <a:pPr>
                  <a:defRPr sz="1000" b="1" i="0" u="none" strike="noStrike" baseline="0">
                    <a:solidFill>
                      <a:srgbClr val="000000"/>
                    </a:solidFill>
                    <a:latin typeface="Calibri"/>
                    <a:ea typeface="Calibri"/>
                    <a:cs typeface="Calibri"/>
                  </a:defRPr>
                </a:pPr>
                <a:r>
                  <a:rPr lang="de-DE"/>
                  <a:t>Regendauer [min]</a:t>
                </a:r>
              </a:p>
            </c:rich>
          </c:tx>
          <c:layout>
            <c:manualLayout>
              <c:xMode val="edge"/>
              <c:yMode val="edge"/>
              <c:x val="0.43399327592412157"/>
              <c:y val="0.85074626865671643"/>
            </c:manualLayout>
          </c:layout>
          <c:overlay val="0"/>
          <c:spPr>
            <a:noFill/>
            <a:ln w="25400">
              <a:noFill/>
            </a:ln>
          </c:spPr>
        </c:title>
        <c:numFmt formatCode="General" sourceLinked="1"/>
        <c:majorTickMark val="none"/>
        <c:minorTickMark val="none"/>
        <c:tickLblPos val="nextTo"/>
        <c:txPr>
          <a:bodyPr rot="-5400000" vert="horz"/>
          <a:lstStyle/>
          <a:p>
            <a:pPr>
              <a:defRPr sz="900" b="0" i="0" u="none" strike="noStrike" baseline="0">
                <a:solidFill>
                  <a:srgbClr val="000000"/>
                </a:solidFill>
                <a:latin typeface="Arial"/>
                <a:ea typeface="Arial"/>
                <a:cs typeface="Arial"/>
              </a:defRPr>
            </a:pPr>
            <a:endParaRPr lang="de-DE"/>
          </a:p>
        </c:txPr>
        <c:crossAx val="1"/>
        <c:crosses val="autoZero"/>
        <c:crossBetween val="midCat"/>
        <c:majorUnit val="500"/>
        <c:minorUnit val="500"/>
      </c:valAx>
      <c:valAx>
        <c:axId val="1"/>
        <c:scaling>
          <c:orientation val="minMax"/>
          <c:max val="400"/>
          <c:min val="0"/>
        </c:scaling>
        <c:delete val="0"/>
        <c:axPos val="l"/>
        <c:majorGridlines/>
        <c:minorGridlines>
          <c:spPr>
            <a:ln w="6350">
              <a:solidFill>
                <a:schemeClr val="bg1">
                  <a:lumMod val="85000"/>
                </a:schemeClr>
              </a:solidFill>
              <a:prstDash val="solid"/>
            </a:ln>
          </c:spPr>
        </c:minorGridlines>
        <c:title>
          <c:tx>
            <c:rich>
              <a:bodyPr/>
              <a:lstStyle/>
              <a:p>
                <a:pPr>
                  <a:defRPr sz="1000" b="1" i="0" u="none" strike="noStrike" baseline="0">
                    <a:solidFill>
                      <a:srgbClr val="000000"/>
                    </a:solidFill>
                    <a:latin typeface="Calibri"/>
                    <a:ea typeface="Calibri"/>
                    <a:cs typeface="Calibri"/>
                  </a:defRPr>
                </a:pPr>
                <a:r>
                  <a:rPr lang="de-DE"/>
                  <a:t>Regenspnde [l/m²]</a:t>
                </a:r>
              </a:p>
            </c:rich>
          </c:tx>
          <c:layout>
            <c:manualLayout>
              <c:xMode val="edge"/>
              <c:yMode val="edge"/>
              <c:x val="8.2507746732327358E-3"/>
              <c:y val="0.31094527363184077"/>
            </c:manualLayout>
          </c:layout>
          <c:overlay val="0"/>
          <c:spPr>
            <a:noFill/>
            <a:ln w="25400">
              <a:noFill/>
            </a:ln>
          </c:spPr>
        </c:title>
        <c:numFmt formatCode="0.00" sourceLinked="1"/>
        <c:majorTickMark val="out"/>
        <c:minorTickMark val="none"/>
        <c:tickLblPos val="nextTo"/>
        <c:txPr>
          <a:bodyPr rot="0" vert="horz"/>
          <a:lstStyle/>
          <a:p>
            <a:pPr>
              <a:defRPr sz="900" b="0" i="0" u="none" strike="noStrike" baseline="0">
                <a:solidFill>
                  <a:srgbClr val="000000"/>
                </a:solidFill>
                <a:latin typeface="Arial"/>
                <a:ea typeface="Arial"/>
                <a:cs typeface="Arial"/>
              </a:defRPr>
            </a:pPr>
            <a:endParaRPr lang="de-DE"/>
          </a:p>
        </c:txPr>
        <c:crossAx val="1107926560"/>
        <c:crosses val="autoZero"/>
        <c:crossBetween val="midCat"/>
        <c:majorUnit val="50"/>
        <c:minorUnit val="10"/>
      </c:valAx>
      <c:spPr>
        <a:solidFill>
          <a:srgbClr val="FFFFCC"/>
        </a:solidFill>
      </c:spPr>
    </c:plotArea>
    <c:legend>
      <c:legendPos val="r"/>
      <c:layout>
        <c:manualLayout>
          <c:xMode val="edge"/>
          <c:yMode val="edge"/>
          <c:x val="0.20569193900929608"/>
          <c:y val="0.91296483461955313"/>
          <c:w val="0.62710961297061951"/>
          <c:h val="7.9604601663598062E-2"/>
        </c:manualLayout>
      </c:layout>
      <c:overlay val="0"/>
      <c:spPr>
        <a:solidFill>
          <a:sysClr val="window" lastClr="FFFFFF">
            <a:alpha val="50000"/>
          </a:sysClr>
        </a:solidFill>
        <a:ln>
          <a:solidFill>
            <a:schemeClr val="bg1">
              <a:lumMod val="65000"/>
            </a:schemeClr>
          </a:solidFill>
          <a:prstDash val="sysDot"/>
        </a:ln>
      </c:spPr>
      <c:txPr>
        <a:bodyPr/>
        <a:lstStyle/>
        <a:p>
          <a:pPr>
            <a:defRPr sz="845" b="0" i="0" u="none" strike="noStrike" baseline="0">
              <a:solidFill>
                <a:srgbClr val="000000"/>
              </a:solidFill>
              <a:latin typeface="Calibri"/>
              <a:ea typeface="Calibri"/>
              <a:cs typeface="Calibri"/>
            </a:defRPr>
          </a:pPr>
          <a:endParaRPr lang="de-DE"/>
        </a:p>
      </c:txPr>
    </c:legend>
    <c:plotVisOnly val="1"/>
    <c:dispBlanksAs val="gap"/>
    <c:showDLblsOverMax val="0"/>
  </c:chart>
  <c:spPr>
    <a:solidFill>
      <a:schemeClr val="bg1">
        <a:lumMod val="95000"/>
      </a:schemeClr>
    </a:solidFill>
    <a:ln>
      <a:solidFill>
        <a:schemeClr val="tx1"/>
      </a:solidFill>
    </a:ln>
  </c:spPr>
  <c:txPr>
    <a:bodyPr/>
    <a:lstStyle/>
    <a:p>
      <a:pPr>
        <a:defRPr sz="1000" b="0" i="0" u="none" strike="noStrike" baseline="0">
          <a:solidFill>
            <a:srgbClr val="000000"/>
          </a:solidFill>
          <a:latin typeface="Calibri"/>
          <a:ea typeface="Calibri"/>
          <a:cs typeface="Calibri"/>
        </a:defRPr>
      </a:pPr>
      <a:endParaRPr lang="de-DE"/>
    </a:p>
  </c:txPr>
  <c:printSettings>
    <c:headerFooter/>
    <c:pageMargins b="0.78740157499999996" l="0.70000000000000062" r="0.70000000000000062" t="0.78740157499999996"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de-DE"/>
              <a:t>Maßgebliche Regenkurve und Sickerlinien</a:t>
            </a:r>
          </a:p>
        </c:rich>
      </c:tx>
      <c:layout>
        <c:manualLayout>
          <c:xMode val="edge"/>
          <c:yMode val="edge"/>
          <c:x val="0.18446083128497825"/>
          <c:y val="4.912280701754386E-2"/>
        </c:manualLayout>
      </c:layout>
      <c:overlay val="0"/>
      <c:spPr>
        <a:noFill/>
        <a:ln w="25400">
          <a:noFill/>
        </a:ln>
      </c:spPr>
    </c:title>
    <c:autoTitleDeleted val="0"/>
    <c:plotArea>
      <c:layout>
        <c:manualLayout>
          <c:layoutTarget val="inner"/>
          <c:xMode val="edge"/>
          <c:yMode val="edge"/>
          <c:x val="0.12437028704745252"/>
          <c:y val="0.19183236263207856"/>
          <c:w val="0.83528025663459005"/>
          <c:h val="0.55905455214324662"/>
        </c:manualLayout>
      </c:layout>
      <c:scatterChart>
        <c:scatterStyle val="lineMarker"/>
        <c:varyColors val="0"/>
        <c:ser>
          <c:idx val="0"/>
          <c:order val="0"/>
          <c:tx>
            <c:v>Regen A</c:v>
          </c:tx>
          <c:spPr>
            <a:ln w="25400">
              <a:solidFill>
                <a:srgbClr val="00CCFF"/>
              </a:solidFill>
              <a:prstDash val="solid"/>
            </a:ln>
          </c:spPr>
          <c:marker>
            <c:symbol val="none"/>
          </c:marker>
          <c:xVal>
            <c:numRef>
              <c:f>Sickerschacht_SIR!$Q$35:$Q$56</c:f>
              <c:numCache>
                <c:formatCode>General</c:formatCode>
                <c:ptCount val="22"/>
                <c:pt idx="0">
                  <c:v>0</c:v>
                </c:pt>
                <c:pt idx="1">
                  <c:v>5</c:v>
                </c:pt>
                <c:pt idx="2">
                  <c:v>10</c:v>
                </c:pt>
                <c:pt idx="3">
                  <c:v>15</c:v>
                </c:pt>
                <c:pt idx="4">
                  <c:v>20</c:v>
                </c:pt>
                <c:pt idx="5">
                  <c:v>30</c:v>
                </c:pt>
                <c:pt idx="6">
                  <c:v>45</c:v>
                </c:pt>
                <c:pt idx="7">
                  <c:v>60</c:v>
                </c:pt>
                <c:pt idx="8">
                  <c:v>90</c:v>
                </c:pt>
                <c:pt idx="9">
                  <c:v>120</c:v>
                </c:pt>
                <c:pt idx="10">
                  <c:v>180</c:v>
                </c:pt>
                <c:pt idx="11">
                  <c:v>240</c:v>
                </c:pt>
                <c:pt idx="12">
                  <c:v>360</c:v>
                </c:pt>
                <c:pt idx="13">
                  <c:v>540</c:v>
                </c:pt>
                <c:pt idx="14">
                  <c:v>720</c:v>
                </c:pt>
                <c:pt idx="15">
                  <c:v>1080</c:v>
                </c:pt>
                <c:pt idx="16">
                  <c:v>1440</c:v>
                </c:pt>
                <c:pt idx="17">
                  <c:v>2880</c:v>
                </c:pt>
                <c:pt idx="18">
                  <c:v>4320</c:v>
                </c:pt>
                <c:pt idx="19">
                  <c:v>5760</c:v>
                </c:pt>
                <c:pt idx="20">
                  <c:v>7200</c:v>
                </c:pt>
                <c:pt idx="21">
                  <c:v>8640</c:v>
                </c:pt>
              </c:numCache>
            </c:numRef>
          </c:xVal>
          <c:yVal>
            <c:numRef>
              <c:f>Sickerschacht_SIR!$C$35:$C$56</c:f>
              <c:numCache>
                <c:formatCode>0.00</c:formatCode>
                <c:ptCount val="22"/>
                <c:pt idx="0" formatCode="_-* #,##0.0_-;\-* #,##0.0_-;_-* &quot;-&quot;?_-;_-@_-">
                  <c:v>0</c:v>
                </c:pt>
                <c:pt idx="1">
                  <c:v>11.9</c:v>
                </c:pt>
                <c:pt idx="2">
                  <c:v>15</c:v>
                </c:pt>
                <c:pt idx="3">
                  <c:v>17.2</c:v>
                </c:pt>
                <c:pt idx="4">
                  <c:v>18.899999999999999</c:v>
                </c:pt>
                <c:pt idx="5">
                  <c:v>21.6</c:v>
                </c:pt>
                <c:pt idx="6">
                  <c:v>24.5</c:v>
                </c:pt>
                <c:pt idx="7">
                  <c:v>26.5</c:v>
                </c:pt>
                <c:pt idx="8">
                  <c:v>29.5</c:v>
                </c:pt>
                <c:pt idx="9">
                  <c:v>32</c:v>
                </c:pt>
                <c:pt idx="10">
                  <c:v>36.1</c:v>
                </c:pt>
                <c:pt idx="11">
                  <c:v>39.200000000000003</c:v>
                </c:pt>
                <c:pt idx="12">
                  <c:v>45.8</c:v>
                </c:pt>
                <c:pt idx="13">
                  <c:v>53.5</c:v>
                </c:pt>
                <c:pt idx="14">
                  <c:v>59.3</c:v>
                </c:pt>
                <c:pt idx="15">
                  <c:v>67.900000000000006</c:v>
                </c:pt>
                <c:pt idx="16">
                  <c:v>70.400000000000006</c:v>
                </c:pt>
                <c:pt idx="17">
                  <c:v>83.6</c:v>
                </c:pt>
                <c:pt idx="18">
                  <c:v>92.6</c:v>
                </c:pt>
                <c:pt idx="19">
                  <c:v>99.1</c:v>
                </c:pt>
                <c:pt idx="20">
                  <c:v>104.4</c:v>
                </c:pt>
                <c:pt idx="21">
                  <c:v>110.1</c:v>
                </c:pt>
              </c:numCache>
            </c:numRef>
          </c:yVal>
          <c:smooth val="0"/>
          <c:extLst>
            <c:ext xmlns:c16="http://schemas.microsoft.com/office/drawing/2014/chart" uri="{C3380CC4-5D6E-409C-BE32-E72D297353CC}">
              <c16:uniqueId val="{00000000-120B-4987-B187-BD0AFFA8B411}"/>
            </c:ext>
          </c:extLst>
        </c:ser>
        <c:ser>
          <c:idx val="1"/>
          <c:order val="1"/>
          <c:tx>
            <c:v>Sickerlinie kf1</c:v>
          </c:tx>
          <c:spPr>
            <a:ln w="25400" cap="rnd">
              <a:solidFill>
                <a:schemeClr val="accent6">
                  <a:lumMod val="75000"/>
                </a:schemeClr>
              </a:solidFill>
              <a:prstDash val="dash"/>
            </a:ln>
          </c:spPr>
          <c:marker>
            <c:symbol val="none"/>
          </c:marker>
          <c:xVal>
            <c:numRef>
              <c:f>Sickerschacht_SIR!$Q$35:$Q$56</c:f>
              <c:numCache>
                <c:formatCode>General</c:formatCode>
                <c:ptCount val="22"/>
                <c:pt idx="0">
                  <c:v>0</c:v>
                </c:pt>
                <c:pt idx="1">
                  <c:v>5</c:v>
                </c:pt>
                <c:pt idx="2">
                  <c:v>10</c:v>
                </c:pt>
                <c:pt idx="3">
                  <c:v>15</c:v>
                </c:pt>
                <c:pt idx="4">
                  <c:v>20</c:v>
                </c:pt>
                <c:pt idx="5">
                  <c:v>30</c:v>
                </c:pt>
                <c:pt idx="6">
                  <c:v>45</c:v>
                </c:pt>
                <c:pt idx="7">
                  <c:v>60</c:v>
                </c:pt>
                <c:pt idx="8">
                  <c:v>90</c:v>
                </c:pt>
                <c:pt idx="9">
                  <c:v>120</c:v>
                </c:pt>
                <c:pt idx="10">
                  <c:v>180</c:v>
                </c:pt>
                <c:pt idx="11">
                  <c:v>240</c:v>
                </c:pt>
                <c:pt idx="12">
                  <c:v>360</c:v>
                </c:pt>
                <c:pt idx="13">
                  <c:v>540</c:v>
                </c:pt>
                <c:pt idx="14">
                  <c:v>720</c:v>
                </c:pt>
                <c:pt idx="15">
                  <c:v>1080</c:v>
                </c:pt>
                <c:pt idx="16">
                  <c:v>1440</c:v>
                </c:pt>
                <c:pt idx="17">
                  <c:v>2880</c:v>
                </c:pt>
                <c:pt idx="18">
                  <c:v>4320</c:v>
                </c:pt>
                <c:pt idx="19">
                  <c:v>5760</c:v>
                </c:pt>
                <c:pt idx="20">
                  <c:v>7200</c:v>
                </c:pt>
                <c:pt idx="21">
                  <c:v>8640</c:v>
                </c:pt>
              </c:numCache>
            </c:numRef>
          </c:xVal>
          <c:yVal>
            <c:numRef>
              <c:f>Sickerschacht_SIR!$R$35:$R$56</c:f>
              <c:numCache>
                <c:formatCode>0.00</c:formatCode>
                <c:ptCount val="22"/>
                <c:pt idx="0">
                  <c:v>0</c:v>
                </c:pt>
                <c:pt idx="1">
                  <c:v>20.413698894619856</c:v>
                </c:pt>
                <c:pt idx="2">
                  <c:v>40.827397789239711</c:v>
                </c:pt>
                <c:pt idx="3">
                  <c:v>61.24109668385956</c:v>
                </c:pt>
                <c:pt idx="4">
                  <c:v>81.654795578479423</c:v>
                </c:pt>
                <c:pt idx="5">
                  <c:v>122.48219336771912</c:v>
                </c:pt>
                <c:pt idx="6">
                  <c:v>183.72329005157872</c:v>
                </c:pt>
                <c:pt idx="7">
                  <c:v>244.96438673543824</c:v>
                </c:pt>
                <c:pt idx="8">
                  <c:v>367.44658010315743</c:v>
                </c:pt>
                <c:pt idx="9">
                  <c:v>489.92877347087648</c:v>
                </c:pt>
                <c:pt idx="10">
                  <c:v>734.89316020631486</c:v>
                </c:pt>
                <c:pt idx="11">
                  <c:v>979.85754694175296</c:v>
                </c:pt>
                <c:pt idx="12">
                  <c:v>1469.7863204126297</c:v>
                </c:pt>
                <c:pt idx="13">
                  <c:v>2204.6794806189446</c:v>
                </c:pt>
                <c:pt idx="14">
                  <c:v>2939.5726408252594</c:v>
                </c:pt>
                <c:pt idx="15">
                  <c:v>4409.3589612378892</c:v>
                </c:pt>
                <c:pt idx="16">
                  <c:v>5879.1452816505189</c:v>
                </c:pt>
                <c:pt idx="17">
                  <c:v>11758.290563301038</c:v>
                </c:pt>
                <c:pt idx="18">
                  <c:v>17637.435844951557</c:v>
                </c:pt>
                <c:pt idx="19">
                  <c:v>23516.581126602076</c:v>
                </c:pt>
                <c:pt idx="20">
                  <c:v>29395.726408252594</c:v>
                </c:pt>
                <c:pt idx="21">
                  <c:v>35274.871689903113</c:v>
                </c:pt>
              </c:numCache>
            </c:numRef>
          </c:yVal>
          <c:smooth val="0"/>
          <c:extLst>
            <c:ext xmlns:c16="http://schemas.microsoft.com/office/drawing/2014/chart" uri="{C3380CC4-5D6E-409C-BE32-E72D297353CC}">
              <c16:uniqueId val="{00000001-120B-4987-B187-BD0AFFA8B411}"/>
            </c:ext>
          </c:extLst>
        </c:ser>
        <c:ser>
          <c:idx val="6"/>
          <c:order val="2"/>
          <c:tx>
            <c:v>Sickerlinie kf2</c:v>
          </c:tx>
          <c:spPr>
            <a:ln w="25400">
              <a:solidFill>
                <a:srgbClr val="00F200"/>
              </a:solidFill>
              <a:prstDash val="sysDash"/>
            </a:ln>
          </c:spPr>
          <c:marker>
            <c:symbol val="none"/>
          </c:marker>
          <c:xVal>
            <c:numRef>
              <c:f>Sickerschacht_SIR!$Q$35:$Q$56</c:f>
              <c:numCache>
                <c:formatCode>General</c:formatCode>
                <c:ptCount val="22"/>
                <c:pt idx="0">
                  <c:v>0</c:v>
                </c:pt>
                <c:pt idx="1">
                  <c:v>5</c:v>
                </c:pt>
                <c:pt idx="2">
                  <c:v>10</c:v>
                </c:pt>
                <c:pt idx="3">
                  <c:v>15</c:v>
                </c:pt>
                <c:pt idx="4">
                  <c:v>20</c:v>
                </c:pt>
                <c:pt idx="5">
                  <c:v>30</c:v>
                </c:pt>
                <c:pt idx="6">
                  <c:v>45</c:v>
                </c:pt>
                <c:pt idx="7">
                  <c:v>60</c:v>
                </c:pt>
                <c:pt idx="8">
                  <c:v>90</c:v>
                </c:pt>
                <c:pt idx="9">
                  <c:v>120</c:v>
                </c:pt>
                <c:pt idx="10">
                  <c:v>180</c:v>
                </c:pt>
                <c:pt idx="11">
                  <c:v>240</c:v>
                </c:pt>
                <c:pt idx="12">
                  <c:v>360</c:v>
                </c:pt>
                <c:pt idx="13">
                  <c:v>540</c:v>
                </c:pt>
                <c:pt idx="14">
                  <c:v>720</c:v>
                </c:pt>
                <c:pt idx="15">
                  <c:v>1080</c:v>
                </c:pt>
                <c:pt idx="16">
                  <c:v>1440</c:v>
                </c:pt>
                <c:pt idx="17">
                  <c:v>2880</c:v>
                </c:pt>
                <c:pt idx="18">
                  <c:v>4320</c:v>
                </c:pt>
                <c:pt idx="19">
                  <c:v>5760</c:v>
                </c:pt>
                <c:pt idx="20">
                  <c:v>7200</c:v>
                </c:pt>
                <c:pt idx="21">
                  <c:v>8640</c:v>
                </c:pt>
              </c:numCache>
            </c:numRef>
          </c:xVal>
          <c:yVal>
            <c:numRef>
              <c:f>Sickerschacht_SIR!$S$35:$S$56</c:f>
              <c:numCache>
                <c:formatCode>0.00</c:formatCode>
                <c:ptCount val="22"/>
                <c:pt idx="0">
                  <c:v>0</c:v>
                </c:pt>
                <c:pt idx="1">
                  <c:v>8.6638428956488269</c:v>
                </c:pt>
                <c:pt idx="2">
                  <c:v>17.327685791297654</c:v>
                </c:pt>
                <c:pt idx="3">
                  <c:v>25.991528686946481</c:v>
                </c:pt>
                <c:pt idx="4">
                  <c:v>34.655371582595308</c:v>
                </c:pt>
                <c:pt idx="5">
                  <c:v>51.983057373892962</c:v>
                </c:pt>
                <c:pt idx="6">
                  <c:v>77.974586060839442</c:v>
                </c:pt>
                <c:pt idx="7">
                  <c:v>103.96611474778592</c:v>
                </c:pt>
                <c:pt idx="8">
                  <c:v>155.94917212167888</c:v>
                </c:pt>
                <c:pt idx="9">
                  <c:v>207.93222949557185</c:v>
                </c:pt>
                <c:pt idx="10">
                  <c:v>311.89834424335777</c:v>
                </c:pt>
                <c:pt idx="11">
                  <c:v>415.86445899114369</c:v>
                </c:pt>
                <c:pt idx="12">
                  <c:v>623.79668848671554</c:v>
                </c:pt>
                <c:pt idx="13">
                  <c:v>935.69503273007319</c:v>
                </c:pt>
                <c:pt idx="14">
                  <c:v>1247.5933769734311</c:v>
                </c:pt>
                <c:pt idx="15">
                  <c:v>1871.3900654601464</c:v>
                </c:pt>
                <c:pt idx="16">
                  <c:v>2495.1867539468622</c:v>
                </c:pt>
                <c:pt idx="17">
                  <c:v>4990.3735078937243</c:v>
                </c:pt>
                <c:pt idx="18">
                  <c:v>7485.5602618405856</c:v>
                </c:pt>
                <c:pt idx="19">
                  <c:v>9980.7470157874486</c:v>
                </c:pt>
                <c:pt idx="20">
                  <c:v>12475.933769734311</c:v>
                </c:pt>
                <c:pt idx="21">
                  <c:v>14971.120523681171</c:v>
                </c:pt>
              </c:numCache>
            </c:numRef>
          </c:yVal>
          <c:smooth val="0"/>
          <c:extLst>
            <c:ext xmlns:c16="http://schemas.microsoft.com/office/drawing/2014/chart" uri="{C3380CC4-5D6E-409C-BE32-E72D297353CC}">
              <c16:uniqueId val="{00000002-120B-4987-B187-BD0AFFA8B411}"/>
            </c:ext>
          </c:extLst>
        </c:ser>
        <c:dLbls>
          <c:showLegendKey val="0"/>
          <c:showVal val="0"/>
          <c:showCatName val="0"/>
          <c:showSerName val="0"/>
          <c:showPercent val="0"/>
          <c:showBubbleSize val="0"/>
        </c:dLbls>
        <c:axId val="1107926144"/>
        <c:axId val="1"/>
      </c:scatterChart>
      <c:valAx>
        <c:axId val="1107926144"/>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de-DE"/>
                  <a:t>Regendauer [min]</a:t>
                </a:r>
              </a:p>
            </c:rich>
          </c:tx>
          <c:layout>
            <c:manualLayout>
              <c:xMode val="edge"/>
              <c:yMode val="edge"/>
              <c:x val="0.45322149546121548"/>
              <c:y val="0.86628291200442042"/>
            </c:manualLayout>
          </c:layout>
          <c:overlay val="0"/>
          <c:spPr>
            <a:noFill/>
            <a:ln w="25400">
              <a:noFill/>
            </a:ln>
          </c:spPr>
        </c:title>
        <c:numFmt formatCode="General" sourceLinked="1"/>
        <c:majorTickMark val="none"/>
        <c:minorTickMark val="none"/>
        <c:tickLblPos val="nextTo"/>
        <c:txPr>
          <a:bodyPr rot="-5400000" vert="horz"/>
          <a:lstStyle/>
          <a:p>
            <a:pPr>
              <a:defRPr sz="900" b="0" i="0" u="none" strike="noStrike" baseline="0">
                <a:solidFill>
                  <a:srgbClr val="000000"/>
                </a:solidFill>
                <a:latin typeface="Arial"/>
                <a:ea typeface="Arial"/>
                <a:cs typeface="Arial"/>
              </a:defRPr>
            </a:pPr>
            <a:endParaRPr lang="de-DE"/>
          </a:p>
        </c:txPr>
        <c:crossAx val="1"/>
        <c:crosses val="autoZero"/>
        <c:crossBetween val="midCat"/>
        <c:majorUnit val="500"/>
        <c:minorUnit val="500"/>
      </c:valAx>
      <c:valAx>
        <c:axId val="1"/>
        <c:scaling>
          <c:orientation val="minMax"/>
          <c:max val="400"/>
          <c:min val="0"/>
        </c:scaling>
        <c:delete val="0"/>
        <c:axPos val="l"/>
        <c:majorGridlines/>
        <c:minorGridlines>
          <c:spPr>
            <a:ln w="6350">
              <a:solidFill>
                <a:schemeClr val="bg1">
                  <a:lumMod val="85000"/>
                </a:schemeClr>
              </a:solidFill>
              <a:prstDash val="solid"/>
            </a:ln>
          </c:spPr>
        </c:minorGridlines>
        <c:title>
          <c:tx>
            <c:rich>
              <a:bodyPr/>
              <a:lstStyle/>
              <a:p>
                <a:pPr>
                  <a:defRPr sz="1000" b="1" i="0" u="none" strike="noStrike" baseline="0">
                    <a:solidFill>
                      <a:srgbClr val="000000"/>
                    </a:solidFill>
                    <a:latin typeface="Calibri"/>
                    <a:ea typeface="Calibri"/>
                    <a:cs typeface="Calibri"/>
                  </a:defRPr>
                </a:pPr>
                <a:r>
                  <a:rPr lang="de-DE"/>
                  <a:t>Regenspnde [l/m²]</a:t>
                </a:r>
              </a:p>
            </c:rich>
          </c:tx>
          <c:layout>
            <c:manualLayout>
              <c:xMode val="edge"/>
              <c:yMode val="edge"/>
              <c:x val="1.2264392876816323E-2"/>
              <c:y val="0.32052382925818484"/>
            </c:manualLayout>
          </c:layout>
          <c:overlay val="0"/>
          <c:spPr>
            <a:noFill/>
            <a:ln w="25400">
              <a:noFill/>
            </a:ln>
          </c:spPr>
        </c:title>
        <c:numFmt formatCode="_-* #,##0.0_-;\-* #,##0.0_-;_-* &quot;-&quot;?_-;_-@_-" sourceLinked="1"/>
        <c:majorTickMark val="out"/>
        <c:minorTickMark val="none"/>
        <c:tickLblPos val="nextTo"/>
        <c:txPr>
          <a:bodyPr rot="0" vert="horz"/>
          <a:lstStyle/>
          <a:p>
            <a:pPr>
              <a:defRPr sz="900" b="0" i="0" u="none" strike="noStrike" baseline="0">
                <a:solidFill>
                  <a:srgbClr val="000000"/>
                </a:solidFill>
                <a:latin typeface="Arial"/>
                <a:ea typeface="Arial"/>
                <a:cs typeface="Arial"/>
              </a:defRPr>
            </a:pPr>
            <a:endParaRPr lang="de-DE"/>
          </a:p>
        </c:txPr>
        <c:crossAx val="1107926144"/>
        <c:crosses val="autoZero"/>
        <c:crossBetween val="midCat"/>
        <c:majorUnit val="50"/>
        <c:minorUnit val="10"/>
      </c:valAx>
      <c:spPr>
        <a:solidFill>
          <a:srgbClr val="FFFFCC"/>
        </a:solidFill>
      </c:spPr>
    </c:plotArea>
    <c:legend>
      <c:legendPos val="r"/>
      <c:layout>
        <c:manualLayout>
          <c:xMode val="edge"/>
          <c:yMode val="edge"/>
          <c:x val="0.1993010132992635"/>
          <c:y val="0.92897582539024737"/>
          <c:w val="0.67550704310109388"/>
          <c:h val="6.3159828705622312E-2"/>
        </c:manualLayout>
      </c:layout>
      <c:overlay val="0"/>
      <c:spPr>
        <a:solidFill>
          <a:sysClr val="window" lastClr="FFFFFF">
            <a:alpha val="50000"/>
          </a:sysClr>
        </a:solidFill>
        <a:ln>
          <a:solidFill>
            <a:schemeClr val="bg1">
              <a:lumMod val="65000"/>
            </a:schemeClr>
          </a:solidFill>
          <a:prstDash val="sysDot"/>
        </a:ln>
      </c:spPr>
      <c:txPr>
        <a:bodyPr/>
        <a:lstStyle/>
        <a:p>
          <a:pPr>
            <a:defRPr sz="845" b="0" i="0" u="none" strike="noStrike" baseline="0">
              <a:solidFill>
                <a:srgbClr val="000000"/>
              </a:solidFill>
              <a:latin typeface="Calibri"/>
              <a:ea typeface="Calibri"/>
              <a:cs typeface="Calibri"/>
            </a:defRPr>
          </a:pPr>
          <a:endParaRPr lang="de-DE"/>
        </a:p>
      </c:txPr>
    </c:legend>
    <c:plotVisOnly val="1"/>
    <c:dispBlanksAs val="gap"/>
    <c:showDLblsOverMax val="0"/>
  </c:chart>
  <c:spPr>
    <a:solidFill>
      <a:schemeClr val="bg1">
        <a:lumMod val="95000"/>
      </a:schemeClr>
    </a:solidFill>
    <a:ln>
      <a:solidFill>
        <a:schemeClr val="tx1"/>
      </a:solidFill>
    </a:ln>
  </c:spPr>
  <c:txPr>
    <a:bodyPr/>
    <a:lstStyle/>
    <a:p>
      <a:pPr>
        <a:defRPr sz="1000" b="0" i="0" u="none" strike="noStrike" baseline="0">
          <a:solidFill>
            <a:srgbClr val="000000"/>
          </a:solidFill>
          <a:latin typeface="Calibri"/>
          <a:ea typeface="Calibri"/>
          <a:cs typeface="Calibri"/>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de-DE"/>
              <a:t>Maßgebliche Regenkurve und Sickerlinien</a:t>
            </a:r>
          </a:p>
        </c:rich>
      </c:tx>
      <c:layout>
        <c:manualLayout>
          <c:xMode val="edge"/>
          <c:yMode val="edge"/>
          <c:x val="0.18446083128497825"/>
          <c:y val="4.912280701754386E-2"/>
        </c:manualLayout>
      </c:layout>
      <c:overlay val="0"/>
      <c:spPr>
        <a:noFill/>
        <a:ln w="25400">
          <a:noFill/>
        </a:ln>
      </c:spPr>
    </c:title>
    <c:autoTitleDeleted val="0"/>
    <c:plotArea>
      <c:layout>
        <c:manualLayout>
          <c:layoutTarget val="inner"/>
          <c:xMode val="edge"/>
          <c:yMode val="edge"/>
          <c:x val="0.12437028704745252"/>
          <c:y val="0.19183236263207856"/>
          <c:w val="0.83528025663459105"/>
          <c:h val="0.55905455214324662"/>
        </c:manualLayout>
      </c:layout>
      <c:scatterChart>
        <c:scatterStyle val="lineMarker"/>
        <c:varyColors val="0"/>
        <c:ser>
          <c:idx val="0"/>
          <c:order val="0"/>
          <c:tx>
            <c:v>Regen A</c:v>
          </c:tx>
          <c:spPr>
            <a:ln w="25400">
              <a:solidFill>
                <a:srgbClr val="00CCFF"/>
              </a:solidFill>
              <a:prstDash val="solid"/>
            </a:ln>
          </c:spPr>
          <c:marker>
            <c:symbol val="none"/>
          </c:marker>
          <c:xVal>
            <c:numRef>
              <c:f>'Sickerschacht_SIR-AQF'!$Q$35:$Q$56</c:f>
              <c:numCache>
                <c:formatCode>General</c:formatCode>
                <c:ptCount val="22"/>
                <c:pt idx="0">
                  <c:v>0</c:v>
                </c:pt>
                <c:pt idx="1">
                  <c:v>5</c:v>
                </c:pt>
                <c:pt idx="2">
                  <c:v>10</c:v>
                </c:pt>
                <c:pt idx="3">
                  <c:v>15</c:v>
                </c:pt>
                <c:pt idx="4">
                  <c:v>20</c:v>
                </c:pt>
                <c:pt idx="5">
                  <c:v>30</c:v>
                </c:pt>
                <c:pt idx="6">
                  <c:v>45</c:v>
                </c:pt>
                <c:pt idx="7">
                  <c:v>60</c:v>
                </c:pt>
                <c:pt idx="8">
                  <c:v>90</c:v>
                </c:pt>
                <c:pt idx="9">
                  <c:v>120</c:v>
                </c:pt>
                <c:pt idx="10">
                  <c:v>180</c:v>
                </c:pt>
                <c:pt idx="11">
                  <c:v>240</c:v>
                </c:pt>
                <c:pt idx="12">
                  <c:v>360</c:v>
                </c:pt>
                <c:pt idx="13">
                  <c:v>540</c:v>
                </c:pt>
                <c:pt idx="14">
                  <c:v>720</c:v>
                </c:pt>
                <c:pt idx="15">
                  <c:v>1080</c:v>
                </c:pt>
                <c:pt idx="16">
                  <c:v>1440</c:v>
                </c:pt>
                <c:pt idx="17">
                  <c:v>2880</c:v>
                </c:pt>
                <c:pt idx="18">
                  <c:v>4320</c:v>
                </c:pt>
                <c:pt idx="19">
                  <c:v>5760</c:v>
                </c:pt>
                <c:pt idx="20">
                  <c:v>7200</c:v>
                </c:pt>
                <c:pt idx="21">
                  <c:v>8640</c:v>
                </c:pt>
              </c:numCache>
            </c:numRef>
          </c:xVal>
          <c:yVal>
            <c:numRef>
              <c:f>'Sickerschacht_SIR-AQF'!$C$35:$C$56</c:f>
              <c:numCache>
                <c:formatCode>0.00</c:formatCode>
                <c:ptCount val="22"/>
                <c:pt idx="0" formatCode="_-* #,##0.0_-;\-* #,##0.0_-;_-* &quot;-&quot;?_-;_-@_-">
                  <c:v>0</c:v>
                </c:pt>
                <c:pt idx="1">
                  <c:v>11.9</c:v>
                </c:pt>
                <c:pt idx="2">
                  <c:v>15</c:v>
                </c:pt>
                <c:pt idx="3">
                  <c:v>17.2</c:v>
                </c:pt>
                <c:pt idx="4">
                  <c:v>18.899999999999999</c:v>
                </c:pt>
                <c:pt idx="5">
                  <c:v>21.6</c:v>
                </c:pt>
                <c:pt idx="6">
                  <c:v>24.5</c:v>
                </c:pt>
                <c:pt idx="7">
                  <c:v>26.5</c:v>
                </c:pt>
                <c:pt idx="8">
                  <c:v>29.5</c:v>
                </c:pt>
                <c:pt idx="9">
                  <c:v>32</c:v>
                </c:pt>
                <c:pt idx="10">
                  <c:v>36.1</c:v>
                </c:pt>
                <c:pt idx="11">
                  <c:v>39.200000000000003</c:v>
                </c:pt>
                <c:pt idx="12">
                  <c:v>45.8</c:v>
                </c:pt>
                <c:pt idx="13">
                  <c:v>53.5</c:v>
                </c:pt>
                <c:pt idx="14">
                  <c:v>59.3</c:v>
                </c:pt>
                <c:pt idx="15">
                  <c:v>67.900000000000006</c:v>
                </c:pt>
                <c:pt idx="16">
                  <c:v>70.400000000000006</c:v>
                </c:pt>
                <c:pt idx="17">
                  <c:v>83.6</c:v>
                </c:pt>
                <c:pt idx="18">
                  <c:v>92.6</c:v>
                </c:pt>
                <c:pt idx="19">
                  <c:v>99.1</c:v>
                </c:pt>
                <c:pt idx="20">
                  <c:v>104.4</c:v>
                </c:pt>
                <c:pt idx="21">
                  <c:v>110.1</c:v>
                </c:pt>
              </c:numCache>
            </c:numRef>
          </c:yVal>
          <c:smooth val="0"/>
          <c:extLst>
            <c:ext xmlns:c16="http://schemas.microsoft.com/office/drawing/2014/chart" uri="{C3380CC4-5D6E-409C-BE32-E72D297353CC}">
              <c16:uniqueId val="{00000000-1D33-4B21-AEC9-4E943BC0E487}"/>
            </c:ext>
          </c:extLst>
        </c:ser>
        <c:ser>
          <c:idx val="1"/>
          <c:order val="1"/>
          <c:tx>
            <c:v>Sickerlinie kf1</c:v>
          </c:tx>
          <c:spPr>
            <a:ln w="25400" cap="rnd">
              <a:solidFill>
                <a:schemeClr val="accent6">
                  <a:lumMod val="75000"/>
                </a:schemeClr>
              </a:solidFill>
              <a:prstDash val="dash"/>
            </a:ln>
          </c:spPr>
          <c:marker>
            <c:symbol val="none"/>
          </c:marker>
          <c:xVal>
            <c:numRef>
              <c:f>'Sickerschacht_SIR-AQF'!$Q$35:$Q$56</c:f>
              <c:numCache>
                <c:formatCode>General</c:formatCode>
                <c:ptCount val="22"/>
                <c:pt idx="0">
                  <c:v>0</c:v>
                </c:pt>
                <c:pt idx="1">
                  <c:v>5</c:v>
                </c:pt>
                <c:pt idx="2">
                  <c:v>10</c:v>
                </c:pt>
                <c:pt idx="3">
                  <c:v>15</c:v>
                </c:pt>
                <c:pt idx="4">
                  <c:v>20</c:v>
                </c:pt>
                <c:pt idx="5">
                  <c:v>30</c:v>
                </c:pt>
                <c:pt idx="6">
                  <c:v>45</c:v>
                </c:pt>
                <c:pt idx="7">
                  <c:v>60</c:v>
                </c:pt>
                <c:pt idx="8">
                  <c:v>90</c:v>
                </c:pt>
                <c:pt idx="9">
                  <c:v>120</c:v>
                </c:pt>
                <c:pt idx="10">
                  <c:v>180</c:v>
                </c:pt>
                <c:pt idx="11">
                  <c:v>240</c:v>
                </c:pt>
                <c:pt idx="12">
                  <c:v>360</c:v>
                </c:pt>
                <c:pt idx="13">
                  <c:v>540</c:v>
                </c:pt>
                <c:pt idx="14">
                  <c:v>720</c:v>
                </c:pt>
                <c:pt idx="15">
                  <c:v>1080</c:v>
                </c:pt>
                <c:pt idx="16">
                  <c:v>1440</c:v>
                </c:pt>
                <c:pt idx="17">
                  <c:v>2880</c:v>
                </c:pt>
                <c:pt idx="18">
                  <c:v>4320</c:v>
                </c:pt>
                <c:pt idx="19">
                  <c:v>5760</c:v>
                </c:pt>
                <c:pt idx="20">
                  <c:v>7200</c:v>
                </c:pt>
                <c:pt idx="21">
                  <c:v>8640</c:v>
                </c:pt>
              </c:numCache>
            </c:numRef>
          </c:xVal>
          <c:yVal>
            <c:numRef>
              <c:f>'Sickerschacht_SIR-AQF'!$R$35:$R$56</c:f>
              <c:numCache>
                <c:formatCode>0.00</c:formatCode>
                <c:ptCount val="22"/>
                <c:pt idx="0">
                  <c:v>0</c:v>
                </c:pt>
                <c:pt idx="1">
                  <c:v>2.0848818636671287</c:v>
                </c:pt>
                <c:pt idx="2">
                  <c:v>4.1697637273342574</c:v>
                </c:pt>
                <c:pt idx="3">
                  <c:v>6.2546455910013865</c:v>
                </c:pt>
                <c:pt idx="4">
                  <c:v>8.3395274546685147</c:v>
                </c:pt>
                <c:pt idx="5">
                  <c:v>12.509291182002773</c:v>
                </c:pt>
                <c:pt idx="6">
                  <c:v>18.763936773004161</c:v>
                </c:pt>
                <c:pt idx="7">
                  <c:v>25.018582364005546</c:v>
                </c:pt>
                <c:pt idx="8">
                  <c:v>37.527873546008323</c:v>
                </c:pt>
                <c:pt idx="9">
                  <c:v>50.037164728011092</c:v>
                </c:pt>
                <c:pt idx="10">
                  <c:v>75.055747092016645</c:v>
                </c:pt>
                <c:pt idx="11">
                  <c:v>100.07432945602218</c:v>
                </c:pt>
                <c:pt idx="12">
                  <c:v>150.11149418403329</c:v>
                </c:pt>
                <c:pt idx="13">
                  <c:v>225.16724127604996</c:v>
                </c:pt>
                <c:pt idx="14">
                  <c:v>300.22298836806658</c:v>
                </c:pt>
                <c:pt idx="15">
                  <c:v>450.33448255209993</c:v>
                </c:pt>
                <c:pt idx="16">
                  <c:v>600.44597673613316</c:v>
                </c:pt>
                <c:pt idx="17">
                  <c:v>1200.8919534722663</c:v>
                </c:pt>
                <c:pt idx="18">
                  <c:v>1801.3379302083997</c:v>
                </c:pt>
                <c:pt idx="19">
                  <c:v>2401.7839069445326</c:v>
                </c:pt>
                <c:pt idx="20">
                  <c:v>3002.2298836806658</c:v>
                </c:pt>
                <c:pt idx="21">
                  <c:v>3602.6758604167994</c:v>
                </c:pt>
              </c:numCache>
            </c:numRef>
          </c:yVal>
          <c:smooth val="0"/>
          <c:extLst>
            <c:ext xmlns:c16="http://schemas.microsoft.com/office/drawing/2014/chart" uri="{C3380CC4-5D6E-409C-BE32-E72D297353CC}">
              <c16:uniqueId val="{00000001-1D33-4B21-AEC9-4E943BC0E487}"/>
            </c:ext>
          </c:extLst>
        </c:ser>
        <c:ser>
          <c:idx val="6"/>
          <c:order val="2"/>
          <c:tx>
            <c:v>Sickerlinie kf2</c:v>
          </c:tx>
          <c:spPr>
            <a:ln w="25400">
              <a:solidFill>
                <a:srgbClr val="00F200"/>
              </a:solidFill>
              <a:prstDash val="sysDash"/>
            </a:ln>
          </c:spPr>
          <c:marker>
            <c:symbol val="none"/>
          </c:marker>
          <c:xVal>
            <c:numRef>
              <c:f>'Sickerschacht_SIR-AQF'!$Q$35:$Q$56</c:f>
              <c:numCache>
                <c:formatCode>General</c:formatCode>
                <c:ptCount val="22"/>
                <c:pt idx="0">
                  <c:v>0</c:v>
                </c:pt>
                <c:pt idx="1">
                  <c:v>5</c:v>
                </c:pt>
                <c:pt idx="2">
                  <c:v>10</c:v>
                </c:pt>
                <c:pt idx="3">
                  <c:v>15</c:v>
                </c:pt>
                <c:pt idx="4">
                  <c:v>20</c:v>
                </c:pt>
                <c:pt idx="5">
                  <c:v>30</c:v>
                </c:pt>
                <c:pt idx="6">
                  <c:v>45</c:v>
                </c:pt>
                <c:pt idx="7">
                  <c:v>60</c:v>
                </c:pt>
                <c:pt idx="8">
                  <c:v>90</c:v>
                </c:pt>
                <c:pt idx="9">
                  <c:v>120</c:v>
                </c:pt>
                <c:pt idx="10">
                  <c:v>180</c:v>
                </c:pt>
                <c:pt idx="11">
                  <c:v>240</c:v>
                </c:pt>
                <c:pt idx="12">
                  <c:v>360</c:v>
                </c:pt>
                <c:pt idx="13">
                  <c:v>540</c:v>
                </c:pt>
                <c:pt idx="14">
                  <c:v>720</c:v>
                </c:pt>
                <c:pt idx="15">
                  <c:v>1080</c:v>
                </c:pt>
                <c:pt idx="16">
                  <c:v>1440</c:v>
                </c:pt>
                <c:pt idx="17">
                  <c:v>2880</c:v>
                </c:pt>
                <c:pt idx="18">
                  <c:v>4320</c:v>
                </c:pt>
                <c:pt idx="19">
                  <c:v>5760</c:v>
                </c:pt>
                <c:pt idx="20">
                  <c:v>7200</c:v>
                </c:pt>
                <c:pt idx="21">
                  <c:v>8640</c:v>
                </c:pt>
              </c:numCache>
            </c:numRef>
          </c:xVal>
          <c:yVal>
            <c:numRef>
              <c:f>'Sickerschacht_SIR-AQF'!$S$35:$S$56</c:f>
              <c:numCache>
                <c:formatCode>0.00</c:formatCode>
                <c:ptCount val="22"/>
                <c:pt idx="0">
                  <c:v>0</c:v>
                </c:pt>
                <c:pt idx="1">
                  <c:v>4.1697637889334587</c:v>
                </c:pt>
                <c:pt idx="2">
                  <c:v>8.3395275778669173</c:v>
                </c:pt>
                <c:pt idx="3">
                  <c:v>12.509291366800376</c:v>
                </c:pt>
                <c:pt idx="4">
                  <c:v>16.679055155733835</c:v>
                </c:pt>
                <c:pt idx="5">
                  <c:v>25.018582733600752</c:v>
                </c:pt>
                <c:pt idx="6">
                  <c:v>37.527874100401135</c:v>
                </c:pt>
                <c:pt idx="7">
                  <c:v>50.037165467201504</c:v>
                </c:pt>
                <c:pt idx="8">
                  <c:v>75.05574820080227</c:v>
                </c:pt>
                <c:pt idx="9">
                  <c:v>100.07433093440301</c:v>
                </c:pt>
                <c:pt idx="10">
                  <c:v>150.11149640160454</c:v>
                </c:pt>
                <c:pt idx="11">
                  <c:v>200.14866186880602</c:v>
                </c:pt>
                <c:pt idx="12">
                  <c:v>300.22299280320908</c:v>
                </c:pt>
                <c:pt idx="13">
                  <c:v>450.33448920481356</c:v>
                </c:pt>
                <c:pt idx="14">
                  <c:v>600.44598560641816</c:v>
                </c:pt>
                <c:pt idx="15">
                  <c:v>900.66897840962713</c:v>
                </c:pt>
                <c:pt idx="16">
                  <c:v>1200.8919712128363</c:v>
                </c:pt>
                <c:pt idx="17">
                  <c:v>2401.7839424256726</c:v>
                </c:pt>
                <c:pt idx="18">
                  <c:v>3602.6759136385085</c:v>
                </c:pt>
                <c:pt idx="19">
                  <c:v>4803.5678848513453</c:v>
                </c:pt>
                <c:pt idx="20">
                  <c:v>6004.4598560641807</c:v>
                </c:pt>
                <c:pt idx="21">
                  <c:v>7205.351827277017</c:v>
                </c:pt>
              </c:numCache>
            </c:numRef>
          </c:yVal>
          <c:smooth val="0"/>
          <c:extLst>
            <c:ext xmlns:c16="http://schemas.microsoft.com/office/drawing/2014/chart" uri="{C3380CC4-5D6E-409C-BE32-E72D297353CC}">
              <c16:uniqueId val="{00000002-1D33-4B21-AEC9-4E943BC0E487}"/>
            </c:ext>
          </c:extLst>
        </c:ser>
        <c:dLbls>
          <c:showLegendKey val="0"/>
          <c:showVal val="0"/>
          <c:showCatName val="0"/>
          <c:showSerName val="0"/>
          <c:showPercent val="0"/>
          <c:showBubbleSize val="0"/>
        </c:dLbls>
        <c:axId val="1107927392"/>
        <c:axId val="1"/>
      </c:scatterChart>
      <c:valAx>
        <c:axId val="1107927392"/>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de-DE"/>
                  <a:t>Regendauer [min]</a:t>
                </a:r>
              </a:p>
            </c:rich>
          </c:tx>
          <c:layout>
            <c:manualLayout>
              <c:xMode val="edge"/>
              <c:yMode val="edge"/>
              <c:x val="0.45322149546121548"/>
              <c:y val="0.86628291200442042"/>
            </c:manualLayout>
          </c:layout>
          <c:overlay val="0"/>
          <c:spPr>
            <a:noFill/>
            <a:ln w="25400">
              <a:noFill/>
            </a:ln>
          </c:spPr>
        </c:title>
        <c:numFmt formatCode="General" sourceLinked="1"/>
        <c:majorTickMark val="none"/>
        <c:minorTickMark val="none"/>
        <c:tickLblPos val="nextTo"/>
        <c:txPr>
          <a:bodyPr rot="-5400000" vert="horz"/>
          <a:lstStyle/>
          <a:p>
            <a:pPr>
              <a:defRPr sz="900" b="0" i="0" u="none" strike="noStrike" baseline="0">
                <a:solidFill>
                  <a:srgbClr val="000000"/>
                </a:solidFill>
                <a:latin typeface="Arial"/>
                <a:ea typeface="Arial"/>
                <a:cs typeface="Arial"/>
              </a:defRPr>
            </a:pPr>
            <a:endParaRPr lang="de-DE"/>
          </a:p>
        </c:txPr>
        <c:crossAx val="1"/>
        <c:crosses val="autoZero"/>
        <c:crossBetween val="midCat"/>
        <c:majorUnit val="500"/>
        <c:minorUnit val="500"/>
      </c:valAx>
      <c:valAx>
        <c:axId val="1"/>
        <c:scaling>
          <c:orientation val="minMax"/>
          <c:max val="400"/>
          <c:min val="0"/>
        </c:scaling>
        <c:delete val="0"/>
        <c:axPos val="l"/>
        <c:majorGridlines/>
        <c:minorGridlines>
          <c:spPr>
            <a:ln w="6350">
              <a:solidFill>
                <a:schemeClr val="bg1">
                  <a:lumMod val="85000"/>
                </a:schemeClr>
              </a:solidFill>
              <a:prstDash val="solid"/>
            </a:ln>
          </c:spPr>
        </c:minorGridlines>
        <c:title>
          <c:tx>
            <c:rich>
              <a:bodyPr/>
              <a:lstStyle/>
              <a:p>
                <a:pPr>
                  <a:defRPr sz="1000" b="1" i="0" u="none" strike="noStrike" baseline="0">
                    <a:solidFill>
                      <a:srgbClr val="000000"/>
                    </a:solidFill>
                    <a:latin typeface="Calibri"/>
                    <a:ea typeface="Calibri"/>
                    <a:cs typeface="Calibri"/>
                  </a:defRPr>
                </a:pPr>
                <a:r>
                  <a:rPr lang="de-DE"/>
                  <a:t>Regenspnde [l/m²]</a:t>
                </a:r>
              </a:p>
            </c:rich>
          </c:tx>
          <c:layout>
            <c:manualLayout>
              <c:xMode val="edge"/>
              <c:yMode val="edge"/>
              <c:x val="1.2264392876816323E-2"/>
              <c:y val="0.32052382925818484"/>
            </c:manualLayout>
          </c:layout>
          <c:overlay val="0"/>
          <c:spPr>
            <a:noFill/>
            <a:ln w="25400">
              <a:noFill/>
            </a:ln>
          </c:spPr>
        </c:title>
        <c:numFmt formatCode="_-* #,##0.0_-;\-* #,##0.0_-;_-* &quot;-&quot;?_-;_-@_-" sourceLinked="1"/>
        <c:majorTickMark val="out"/>
        <c:minorTickMark val="none"/>
        <c:tickLblPos val="nextTo"/>
        <c:txPr>
          <a:bodyPr rot="0" vert="horz"/>
          <a:lstStyle/>
          <a:p>
            <a:pPr>
              <a:defRPr sz="900" b="0" i="0" u="none" strike="noStrike" baseline="0">
                <a:solidFill>
                  <a:srgbClr val="000000"/>
                </a:solidFill>
                <a:latin typeface="Arial"/>
                <a:ea typeface="Arial"/>
                <a:cs typeface="Arial"/>
              </a:defRPr>
            </a:pPr>
            <a:endParaRPr lang="de-DE"/>
          </a:p>
        </c:txPr>
        <c:crossAx val="1107927392"/>
        <c:crosses val="autoZero"/>
        <c:crossBetween val="midCat"/>
        <c:majorUnit val="50"/>
        <c:minorUnit val="10"/>
      </c:valAx>
      <c:spPr>
        <a:solidFill>
          <a:srgbClr val="FFFFCC"/>
        </a:solidFill>
      </c:spPr>
    </c:plotArea>
    <c:legend>
      <c:legendPos val="r"/>
      <c:layout>
        <c:manualLayout>
          <c:xMode val="edge"/>
          <c:yMode val="edge"/>
          <c:x val="0.1993010132992635"/>
          <c:y val="0.92897582539024737"/>
          <c:w val="0.67550704310109388"/>
          <c:h val="6.3159828705622312E-2"/>
        </c:manualLayout>
      </c:layout>
      <c:overlay val="0"/>
      <c:spPr>
        <a:solidFill>
          <a:sysClr val="window" lastClr="FFFFFF">
            <a:alpha val="50000"/>
          </a:sysClr>
        </a:solidFill>
        <a:ln>
          <a:solidFill>
            <a:schemeClr val="bg1">
              <a:lumMod val="65000"/>
            </a:schemeClr>
          </a:solidFill>
          <a:prstDash val="sysDot"/>
        </a:ln>
      </c:spPr>
      <c:txPr>
        <a:bodyPr/>
        <a:lstStyle/>
        <a:p>
          <a:pPr>
            <a:defRPr sz="845" b="0" i="0" u="none" strike="noStrike" baseline="0">
              <a:solidFill>
                <a:srgbClr val="000000"/>
              </a:solidFill>
              <a:latin typeface="Calibri"/>
              <a:ea typeface="Calibri"/>
              <a:cs typeface="Calibri"/>
            </a:defRPr>
          </a:pPr>
          <a:endParaRPr lang="de-DE"/>
        </a:p>
      </c:txPr>
    </c:legend>
    <c:plotVisOnly val="1"/>
    <c:dispBlanksAs val="gap"/>
    <c:showDLblsOverMax val="0"/>
  </c:chart>
  <c:spPr>
    <a:solidFill>
      <a:schemeClr val="bg1">
        <a:lumMod val="95000"/>
      </a:schemeClr>
    </a:solidFill>
    <a:ln>
      <a:solidFill>
        <a:schemeClr val="tx1"/>
      </a:solidFill>
    </a:ln>
  </c:spPr>
  <c:txPr>
    <a:bodyPr/>
    <a:lstStyle/>
    <a:p>
      <a:pPr>
        <a:defRPr sz="1000" b="0" i="0" u="none" strike="noStrike" baseline="0">
          <a:solidFill>
            <a:srgbClr val="000000"/>
          </a:solidFill>
          <a:latin typeface="Calibri"/>
          <a:ea typeface="Calibri"/>
          <a:cs typeface="Calibri"/>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de-DE"/>
              <a:t>Maßgebliche Regenkurve und Sickerlinien</a:t>
            </a:r>
          </a:p>
        </c:rich>
      </c:tx>
      <c:layout>
        <c:manualLayout>
          <c:xMode val="edge"/>
          <c:yMode val="edge"/>
          <c:x val="0.18446083128497825"/>
          <c:y val="4.912280701754386E-2"/>
        </c:manualLayout>
      </c:layout>
      <c:overlay val="0"/>
      <c:spPr>
        <a:noFill/>
        <a:ln w="25400">
          <a:noFill/>
        </a:ln>
      </c:spPr>
    </c:title>
    <c:autoTitleDeleted val="0"/>
    <c:plotArea>
      <c:layout>
        <c:manualLayout>
          <c:layoutTarget val="inner"/>
          <c:xMode val="edge"/>
          <c:yMode val="edge"/>
          <c:x val="0.12437028704745252"/>
          <c:y val="0.19183236263207856"/>
          <c:w val="0.8352802566345906"/>
          <c:h val="0.55905455214324662"/>
        </c:manualLayout>
      </c:layout>
      <c:scatterChart>
        <c:scatterStyle val="lineMarker"/>
        <c:varyColors val="0"/>
        <c:ser>
          <c:idx val="0"/>
          <c:order val="0"/>
          <c:tx>
            <c:v>Regen A</c:v>
          </c:tx>
          <c:spPr>
            <a:ln w="25400">
              <a:solidFill>
                <a:srgbClr val="00CCFF"/>
              </a:solidFill>
              <a:prstDash val="solid"/>
            </a:ln>
          </c:spPr>
          <c:marker>
            <c:symbol val="none"/>
          </c:marker>
          <c:xVal>
            <c:numRef>
              <c:f>Sickerschacht_ASI!$Q$35:$Q$56</c:f>
              <c:numCache>
                <c:formatCode>General</c:formatCode>
                <c:ptCount val="22"/>
                <c:pt idx="0">
                  <c:v>0</c:v>
                </c:pt>
                <c:pt idx="1">
                  <c:v>5</c:v>
                </c:pt>
                <c:pt idx="2">
                  <c:v>10</c:v>
                </c:pt>
                <c:pt idx="3">
                  <c:v>15</c:v>
                </c:pt>
                <c:pt idx="4">
                  <c:v>20</c:v>
                </c:pt>
                <c:pt idx="5">
                  <c:v>30</c:v>
                </c:pt>
                <c:pt idx="6">
                  <c:v>45</c:v>
                </c:pt>
                <c:pt idx="7">
                  <c:v>60</c:v>
                </c:pt>
                <c:pt idx="8">
                  <c:v>90</c:v>
                </c:pt>
                <c:pt idx="9">
                  <c:v>120</c:v>
                </c:pt>
                <c:pt idx="10">
                  <c:v>180</c:v>
                </c:pt>
                <c:pt idx="11">
                  <c:v>240</c:v>
                </c:pt>
                <c:pt idx="12">
                  <c:v>360</c:v>
                </c:pt>
                <c:pt idx="13">
                  <c:v>540</c:v>
                </c:pt>
                <c:pt idx="14">
                  <c:v>720</c:v>
                </c:pt>
                <c:pt idx="15">
                  <c:v>1080</c:v>
                </c:pt>
                <c:pt idx="16">
                  <c:v>1440</c:v>
                </c:pt>
                <c:pt idx="17">
                  <c:v>2880</c:v>
                </c:pt>
                <c:pt idx="18">
                  <c:v>4320</c:v>
                </c:pt>
                <c:pt idx="19">
                  <c:v>5760</c:v>
                </c:pt>
                <c:pt idx="20">
                  <c:v>7200</c:v>
                </c:pt>
                <c:pt idx="21">
                  <c:v>8640</c:v>
                </c:pt>
              </c:numCache>
            </c:numRef>
          </c:xVal>
          <c:yVal>
            <c:numRef>
              <c:f>Sickerschacht_ASI!$C$35:$C$56</c:f>
              <c:numCache>
                <c:formatCode>0.00</c:formatCode>
                <c:ptCount val="22"/>
                <c:pt idx="0" formatCode="_-* #,##0.0_-;\-* #,##0.0_-;_-* &quot;-&quot;?_-;_-@_-">
                  <c:v>0</c:v>
                </c:pt>
                <c:pt idx="1">
                  <c:v>11.9</c:v>
                </c:pt>
                <c:pt idx="2">
                  <c:v>15</c:v>
                </c:pt>
                <c:pt idx="3">
                  <c:v>17.2</c:v>
                </c:pt>
                <c:pt idx="4">
                  <c:v>18.899999999999999</c:v>
                </c:pt>
                <c:pt idx="5">
                  <c:v>21.6</c:v>
                </c:pt>
                <c:pt idx="6">
                  <c:v>24.5</c:v>
                </c:pt>
                <c:pt idx="7">
                  <c:v>26.5</c:v>
                </c:pt>
                <c:pt idx="8">
                  <c:v>29.5</c:v>
                </c:pt>
                <c:pt idx="9">
                  <c:v>32</c:v>
                </c:pt>
                <c:pt idx="10">
                  <c:v>36.1</c:v>
                </c:pt>
                <c:pt idx="11">
                  <c:v>39.200000000000003</c:v>
                </c:pt>
                <c:pt idx="12">
                  <c:v>45.8</c:v>
                </c:pt>
                <c:pt idx="13">
                  <c:v>53.5</c:v>
                </c:pt>
                <c:pt idx="14">
                  <c:v>59.3</c:v>
                </c:pt>
                <c:pt idx="15">
                  <c:v>67.900000000000006</c:v>
                </c:pt>
                <c:pt idx="16">
                  <c:v>70.400000000000006</c:v>
                </c:pt>
                <c:pt idx="17">
                  <c:v>83.6</c:v>
                </c:pt>
                <c:pt idx="18">
                  <c:v>92.6</c:v>
                </c:pt>
                <c:pt idx="19">
                  <c:v>99.1</c:v>
                </c:pt>
                <c:pt idx="20">
                  <c:v>104.4</c:v>
                </c:pt>
                <c:pt idx="21">
                  <c:v>110.1</c:v>
                </c:pt>
              </c:numCache>
            </c:numRef>
          </c:yVal>
          <c:smooth val="0"/>
          <c:extLst>
            <c:ext xmlns:c16="http://schemas.microsoft.com/office/drawing/2014/chart" uri="{C3380CC4-5D6E-409C-BE32-E72D297353CC}">
              <c16:uniqueId val="{00000000-9029-405C-A6F3-C6E8B0E54362}"/>
            </c:ext>
          </c:extLst>
        </c:ser>
        <c:ser>
          <c:idx val="1"/>
          <c:order val="1"/>
          <c:tx>
            <c:v>Sickerlinie kf1</c:v>
          </c:tx>
          <c:spPr>
            <a:ln w="25400" cap="rnd">
              <a:solidFill>
                <a:schemeClr val="accent6">
                  <a:lumMod val="75000"/>
                </a:schemeClr>
              </a:solidFill>
              <a:prstDash val="dash"/>
            </a:ln>
          </c:spPr>
          <c:marker>
            <c:symbol val="none"/>
          </c:marker>
          <c:xVal>
            <c:numRef>
              <c:f>Sickerschacht_ASI!$Q$35:$Q$56</c:f>
              <c:numCache>
                <c:formatCode>General</c:formatCode>
                <c:ptCount val="22"/>
                <c:pt idx="0">
                  <c:v>0</c:v>
                </c:pt>
                <c:pt idx="1">
                  <c:v>5</c:v>
                </c:pt>
                <c:pt idx="2">
                  <c:v>10</c:v>
                </c:pt>
                <c:pt idx="3">
                  <c:v>15</c:v>
                </c:pt>
                <c:pt idx="4">
                  <c:v>20</c:v>
                </c:pt>
                <c:pt idx="5">
                  <c:v>30</c:v>
                </c:pt>
                <c:pt idx="6">
                  <c:v>45</c:v>
                </c:pt>
                <c:pt idx="7">
                  <c:v>60</c:v>
                </c:pt>
                <c:pt idx="8">
                  <c:v>90</c:v>
                </c:pt>
                <c:pt idx="9">
                  <c:v>120</c:v>
                </c:pt>
                <c:pt idx="10">
                  <c:v>180</c:v>
                </c:pt>
                <c:pt idx="11">
                  <c:v>240</c:v>
                </c:pt>
                <c:pt idx="12">
                  <c:v>360</c:v>
                </c:pt>
                <c:pt idx="13">
                  <c:v>540</c:v>
                </c:pt>
                <c:pt idx="14">
                  <c:v>720</c:v>
                </c:pt>
                <c:pt idx="15">
                  <c:v>1080</c:v>
                </c:pt>
                <c:pt idx="16">
                  <c:v>1440</c:v>
                </c:pt>
                <c:pt idx="17">
                  <c:v>2880</c:v>
                </c:pt>
                <c:pt idx="18">
                  <c:v>4320</c:v>
                </c:pt>
                <c:pt idx="19">
                  <c:v>5760</c:v>
                </c:pt>
                <c:pt idx="20">
                  <c:v>7200</c:v>
                </c:pt>
                <c:pt idx="21">
                  <c:v>8640</c:v>
                </c:pt>
              </c:numCache>
            </c:numRef>
          </c:xVal>
          <c:yVal>
            <c:numRef>
              <c:f>Sickerschacht_ASI!$R$35:$R$56</c:f>
              <c:numCache>
                <c:formatCode>0.00</c:formatCode>
                <c:ptCount val="22"/>
                <c:pt idx="0">
                  <c:v>0</c:v>
                </c:pt>
                <c:pt idx="1">
                  <c:v>0.75055747092016656</c:v>
                </c:pt>
                <c:pt idx="2">
                  <c:v>1.5011149418403331</c:v>
                </c:pt>
                <c:pt idx="3">
                  <c:v>2.2516724127604992</c:v>
                </c:pt>
                <c:pt idx="4">
                  <c:v>3.0022298836806662</c:v>
                </c:pt>
                <c:pt idx="5">
                  <c:v>4.5033448255209985</c:v>
                </c:pt>
                <c:pt idx="6">
                  <c:v>6.755017238281499</c:v>
                </c:pt>
                <c:pt idx="7">
                  <c:v>9.0066896510419969</c:v>
                </c:pt>
                <c:pt idx="8">
                  <c:v>13.510034476562998</c:v>
                </c:pt>
                <c:pt idx="9">
                  <c:v>18.013379302083994</c:v>
                </c:pt>
                <c:pt idx="10">
                  <c:v>27.020068953125996</c:v>
                </c:pt>
                <c:pt idx="11">
                  <c:v>36.026758604167988</c:v>
                </c:pt>
                <c:pt idx="12">
                  <c:v>54.040137906251992</c:v>
                </c:pt>
                <c:pt idx="13">
                  <c:v>81.060206859377985</c:v>
                </c:pt>
                <c:pt idx="14">
                  <c:v>108.08027581250398</c:v>
                </c:pt>
                <c:pt idx="15">
                  <c:v>162.12041371875597</c:v>
                </c:pt>
                <c:pt idx="16">
                  <c:v>216.16055162500797</c:v>
                </c:pt>
                <c:pt idx="17">
                  <c:v>432.32110325001594</c:v>
                </c:pt>
                <c:pt idx="18">
                  <c:v>648.48165487502388</c:v>
                </c:pt>
                <c:pt idx="19">
                  <c:v>864.64220650003188</c:v>
                </c:pt>
                <c:pt idx="20">
                  <c:v>1080.8027581250399</c:v>
                </c:pt>
                <c:pt idx="21">
                  <c:v>1296.9633097500478</c:v>
                </c:pt>
              </c:numCache>
            </c:numRef>
          </c:yVal>
          <c:smooth val="0"/>
          <c:extLst>
            <c:ext xmlns:c16="http://schemas.microsoft.com/office/drawing/2014/chart" uri="{C3380CC4-5D6E-409C-BE32-E72D297353CC}">
              <c16:uniqueId val="{00000001-9029-405C-A6F3-C6E8B0E54362}"/>
            </c:ext>
          </c:extLst>
        </c:ser>
        <c:ser>
          <c:idx val="6"/>
          <c:order val="2"/>
          <c:tx>
            <c:v>Sickerlinie kf2</c:v>
          </c:tx>
          <c:spPr>
            <a:ln w="25400">
              <a:solidFill>
                <a:srgbClr val="00F200"/>
              </a:solidFill>
              <a:prstDash val="sysDash"/>
            </a:ln>
          </c:spPr>
          <c:marker>
            <c:symbol val="none"/>
          </c:marker>
          <c:xVal>
            <c:numRef>
              <c:f>Sickerschacht_ASI!$Q$35:$Q$56</c:f>
              <c:numCache>
                <c:formatCode>General</c:formatCode>
                <c:ptCount val="22"/>
                <c:pt idx="0">
                  <c:v>0</c:v>
                </c:pt>
                <c:pt idx="1">
                  <c:v>5</c:v>
                </c:pt>
                <c:pt idx="2">
                  <c:v>10</c:v>
                </c:pt>
                <c:pt idx="3">
                  <c:v>15</c:v>
                </c:pt>
                <c:pt idx="4">
                  <c:v>20</c:v>
                </c:pt>
                <c:pt idx="5">
                  <c:v>30</c:v>
                </c:pt>
                <c:pt idx="6">
                  <c:v>45</c:v>
                </c:pt>
                <c:pt idx="7">
                  <c:v>60</c:v>
                </c:pt>
                <c:pt idx="8">
                  <c:v>90</c:v>
                </c:pt>
                <c:pt idx="9">
                  <c:v>120</c:v>
                </c:pt>
                <c:pt idx="10">
                  <c:v>180</c:v>
                </c:pt>
                <c:pt idx="11">
                  <c:v>240</c:v>
                </c:pt>
                <c:pt idx="12">
                  <c:v>360</c:v>
                </c:pt>
                <c:pt idx="13">
                  <c:v>540</c:v>
                </c:pt>
                <c:pt idx="14">
                  <c:v>720</c:v>
                </c:pt>
                <c:pt idx="15">
                  <c:v>1080</c:v>
                </c:pt>
                <c:pt idx="16">
                  <c:v>1440</c:v>
                </c:pt>
                <c:pt idx="17">
                  <c:v>2880</c:v>
                </c:pt>
                <c:pt idx="18">
                  <c:v>4320</c:v>
                </c:pt>
                <c:pt idx="19">
                  <c:v>5760</c:v>
                </c:pt>
                <c:pt idx="20">
                  <c:v>7200</c:v>
                </c:pt>
                <c:pt idx="21">
                  <c:v>8640</c:v>
                </c:pt>
              </c:numCache>
            </c:numRef>
          </c:xVal>
          <c:yVal>
            <c:numRef>
              <c:f>Sickerschacht_ASI!$S$35:$S$56</c:f>
              <c:numCache>
                <c:formatCode>0.00</c:formatCode>
                <c:ptCount val="22"/>
                <c:pt idx="0">
                  <c:v>0</c:v>
                </c:pt>
                <c:pt idx="1">
                  <c:v>0.25483718735252481</c:v>
                </c:pt>
                <c:pt idx="2">
                  <c:v>0.50967437470504962</c:v>
                </c:pt>
                <c:pt idx="3">
                  <c:v>0.76451156205757442</c:v>
                </c:pt>
                <c:pt idx="4">
                  <c:v>1.0193487494100992</c:v>
                </c:pt>
                <c:pt idx="5">
                  <c:v>1.5290231241151488</c:v>
                </c:pt>
                <c:pt idx="6">
                  <c:v>2.2935346861727237</c:v>
                </c:pt>
                <c:pt idx="7">
                  <c:v>3.0580462482302977</c:v>
                </c:pt>
                <c:pt idx="8">
                  <c:v>4.5870693723454474</c:v>
                </c:pt>
                <c:pt idx="9">
                  <c:v>6.1160924964605954</c:v>
                </c:pt>
                <c:pt idx="10">
                  <c:v>9.1741387446908949</c:v>
                </c:pt>
                <c:pt idx="11">
                  <c:v>12.232184992921191</c:v>
                </c:pt>
                <c:pt idx="12">
                  <c:v>18.34827748938179</c:v>
                </c:pt>
                <c:pt idx="13">
                  <c:v>27.522416234072676</c:v>
                </c:pt>
                <c:pt idx="14">
                  <c:v>36.696554978763579</c:v>
                </c:pt>
                <c:pt idx="15">
                  <c:v>55.044832468145351</c:v>
                </c:pt>
                <c:pt idx="16">
                  <c:v>73.393109957527159</c:v>
                </c:pt>
                <c:pt idx="17">
                  <c:v>146.78621991505432</c:v>
                </c:pt>
                <c:pt idx="18">
                  <c:v>220.17932987258141</c:v>
                </c:pt>
                <c:pt idx="19">
                  <c:v>293.57243983010864</c:v>
                </c:pt>
                <c:pt idx="20">
                  <c:v>366.96554978763572</c:v>
                </c:pt>
                <c:pt idx="21">
                  <c:v>440.35865974516281</c:v>
                </c:pt>
              </c:numCache>
            </c:numRef>
          </c:yVal>
          <c:smooth val="0"/>
          <c:extLst>
            <c:ext xmlns:c16="http://schemas.microsoft.com/office/drawing/2014/chart" uri="{C3380CC4-5D6E-409C-BE32-E72D297353CC}">
              <c16:uniqueId val="{00000002-9029-405C-A6F3-C6E8B0E54362}"/>
            </c:ext>
          </c:extLst>
        </c:ser>
        <c:dLbls>
          <c:showLegendKey val="0"/>
          <c:showVal val="0"/>
          <c:showCatName val="0"/>
          <c:showSerName val="0"/>
          <c:showPercent val="0"/>
          <c:showBubbleSize val="0"/>
        </c:dLbls>
        <c:axId val="1107915744"/>
        <c:axId val="1"/>
      </c:scatterChart>
      <c:valAx>
        <c:axId val="1107915744"/>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de-DE"/>
                  <a:t>Regendauer [min]</a:t>
                </a:r>
              </a:p>
            </c:rich>
          </c:tx>
          <c:layout>
            <c:manualLayout>
              <c:xMode val="edge"/>
              <c:yMode val="edge"/>
              <c:x val="0.45322149546121548"/>
              <c:y val="0.86628291200442042"/>
            </c:manualLayout>
          </c:layout>
          <c:overlay val="0"/>
          <c:spPr>
            <a:noFill/>
            <a:ln w="25400">
              <a:noFill/>
            </a:ln>
          </c:spPr>
        </c:title>
        <c:numFmt formatCode="General" sourceLinked="1"/>
        <c:majorTickMark val="none"/>
        <c:minorTickMark val="none"/>
        <c:tickLblPos val="nextTo"/>
        <c:txPr>
          <a:bodyPr rot="-5400000" vert="horz"/>
          <a:lstStyle/>
          <a:p>
            <a:pPr>
              <a:defRPr sz="900" b="0" i="0" u="none" strike="noStrike" baseline="0">
                <a:solidFill>
                  <a:srgbClr val="000000"/>
                </a:solidFill>
                <a:latin typeface="Arial"/>
                <a:ea typeface="Arial"/>
                <a:cs typeface="Arial"/>
              </a:defRPr>
            </a:pPr>
            <a:endParaRPr lang="de-DE"/>
          </a:p>
        </c:txPr>
        <c:crossAx val="1"/>
        <c:crosses val="autoZero"/>
        <c:crossBetween val="midCat"/>
        <c:majorUnit val="500"/>
        <c:minorUnit val="500"/>
      </c:valAx>
      <c:valAx>
        <c:axId val="1"/>
        <c:scaling>
          <c:orientation val="minMax"/>
          <c:max val="400"/>
          <c:min val="0"/>
        </c:scaling>
        <c:delete val="0"/>
        <c:axPos val="l"/>
        <c:majorGridlines/>
        <c:minorGridlines>
          <c:spPr>
            <a:ln w="6350">
              <a:solidFill>
                <a:schemeClr val="bg1">
                  <a:lumMod val="85000"/>
                </a:schemeClr>
              </a:solidFill>
              <a:prstDash val="solid"/>
            </a:ln>
          </c:spPr>
        </c:minorGridlines>
        <c:title>
          <c:tx>
            <c:rich>
              <a:bodyPr/>
              <a:lstStyle/>
              <a:p>
                <a:pPr>
                  <a:defRPr sz="1000" b="1" i="0" u="none" strike="noStrike" baseline="0">
                    <a:solidFill>
                      <a:srgbClr val="000000"/>
                    </a:solidFill>
                    <a:latin typeface="Calibri"/>
                    <a:ea typeface="Calibri"/>
                    <a:cs typeface="Calibri"/>
                  </a:defRPr>
                </a:pPr>
                <a:r>
                  <a:rPr lang="de-DE"/>
                  <a:t>Regenspnde [l/m²]</a:t>
                </a:r>
              </a:p>
            </c:rich>
          </c:tx>
          <c:layout>
            <c:manualLayout>
              <c:xMode val="edge"/>
              <c:yMode val="edge"/>
              <c:x val="1.2264392876816323E-2"/>
              <c:y val="0.32052382925818484"/>
            </c:manualLayout>
          </c:layout>
          <c:overlay val="0"/>
          <c:spPr>
            <a:noFill/>
            <a:ln w="25400">
              <a:noFill/>
            </a:ln>
          </c:spPr>
        </c:title>
        <c:numFmt formatCode="_-* #,##0.0_-;\-* #,##0.0_-;_-* &quot;-&quot;?_-;_-@_-" sourceLinked="1"/>
        <c:majorTickMark val="out"/>
        <c:minorTickMark val="none"/>
        <c:tickLblPos val="nextTo"/>
        <c:txPr>
          <a:bodyPr rot="0" vert="horz"/>
          <a:lstStyle/>
          <a:p>
            <a:pPr>
              <a:defRPr sz="900" b="0" i="0" u="none" strike="noStrike" baseline="0">
                <a:solidFill>
                  <a:srgbClr val="000000"/>
                </a:solidFill>
                <a:latin typeface="Arial"/>
                <a:ea typeface="Arial"/>
                <a:cs typeface="Arial"/>
              </a:defRPr>
            </a:pPr>
            <a:endParaRPr lang="de-DE"/>
          </a:p>
        </c:txPr>
        <c:crossAx val="1107915744"/>
        <c:crosses val="autoZero"/>
        <c:crossBetween val="midCat"/>
        <c:majorUnit val="50"/>
        <c:minorUnit val="10"/>
      </c:valAx>
      <c:spPr>
        <a:solidFill>
          <a:srgbClr val="FFFFCC"/>
        </a:solidFill>
      </c:spPr>
    </c:plotArea>
    <c:legend>
      <c:legendPos val="r"/>
      <c:layout>
        <c:manualLayout>
          <c:xMode val="edge"/>
          <c:yMode val="edge"/>
          <c:x val="0.1993010132992635"/>
          <c:y val="0.92897582539024737"/>
          <c:w val="0.67550704310109388"/>
          <c:h val="6.3159828705622312E-2"/>
        </c:manualLayout>
      </c:layout>
      <c:overlay val="0"/>
      <c:spPr>
        <a:solidFill>
          <a:sysClr val="window" lastClr="FFFFFF">
            <a:alpha val="50000"/>
          </a:sysClr>
        </a:solidFill>
        <a:ln>
          <a:solidFill>
            <a:schemeClr val="bg1">
              <a:lumMod val="65000"/>
            </a:schemeClr>
          </a:solidFill>
          <a:prstDash val="sysDot"/>
        </a:ln>
      </c:spPr>
      <c:txPr>
        <a:bodyPr/>
        <a:lstStyle/>
        <a:p>
          <a:pPr>
            <a:defRPr sz="845" b="0" i="0" u="none" strike="noStrike" baseline="0">
              <a:solidFill>
                <a:srgbClr val="000000"/>
              </a:solidFill>
              <a:latin typeface="Calibri"/>
              <a:ea typeface="Calibri"/>
              <a:cs typeface="Calibri"/>
            </a:defRPr>
          </a:pPr>
          <a:endParaRPr lang="de-DE"/>
        </a:p>
      </c:txPr>
    </c:legend>
    <c:plotVisOnly val="1"/>
    <c:dispBlanksAs val="gap"/>
    <c:showDLblsOverMax val="0"/>
  </c:chart>
  <c:spPr>
    <a:solidFill>
      <a:schemeClr val="bg1">
        <a:lumMod val="95000"/>
      </a:schemeClr>
    </a:solidFill>
    <a:ln>
      <a:solidFill>
        <a:schemeClr val="tx1"/>
      </a:solidFill>
    </a:ln>
  </c:spPr>
  <c:txPr>
    <a:bodyPr/>
    <a:lstStyle/>
    <a:p>
      <a:pPr>
        <a:defRPr sz="1000" b="0" i="0" u="none" strike="noStrike" baseline="0">
          <a:solidFill>
            <a:srgbClr val="000000"/>
          </a:solidFill>
          <a:latin typeface="Calibri"/>
          <a:ea typeface="Calibri"/>
          <a:cs typeface="Calibri"/>
        </a:defRPr>
      </a:pPr>
      <a:endParaRPr lang="de-DE"/>
    </a:p>
  </c:txPr>
  <c:printSettings>
    <c:headerFooter/>
    <c:pageMargins b="0.78740157499999996" l="0.70000000000000062" r="0.70000000000000062" t="0.78740157499999996" header="0.30000000000000032" footer="0.30000000000000032"/>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219075</xdr:colOff>
          <xdr:row>13</xdr:row>
          <xdr:rowOff>0</xdr:rowOff>
        </xdr:from>
        <xdr:to>
          <xdr:col>12</xdr:col>
          <xdr:colOff>247650</xdr:colOff>
          <xdr:row>15</xdr:row>
          <xdr:rowOff>38100</xdr:rowOff>
        </xdr:to>
        <xdr:sp macro="" textlink="">
          <xdr:nvSpPr>
            <xdr:cNvPr id="139272" name="Button 8" hidden="1">
              <a:extLst>
                <a:ext uri="{63B3BB69-23CF-44E3-9099-C40C66FF867C}">
                  <a14:compatExt spid="_x0000_s139272"/>
                </a:ext>
                <a:ext uri="{FF2B5EF4-FFF2-40B4-BE49-F238E27FC236}">
                  <a16:creationId xmlns:a16="http://schemas.microsoft.com/office/drawing/2014/main" id="{00000000-0008-0000-0100-000008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ehyd-Daten importieren</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95250</xdr:colOff>
      <xdr:row>1</xdr:row>
      <xdr:rowOff>76200</xdr:rowOff>
    </xdr:from>
    <xdr:to>
      <xdr:col>9</xdr:col>
      <xdr:colOff>542925</xdr:colOff>
      <xdr:row>6</xdr:row>
      <xdr:rowOff>76200</xdr:rowOff>
    </xdr:to>
    <xdr:pic>
      <xdr:nvPicPr>
        <xdr:cNvPr id="5912591" name="Picture 4" descr="SW Logo_AT">
          <a:extLst>
            <a:ext uri="{FF2B5EF4-FFF2-40B4-BE49-F238E27FC236}">
              <a16:creationId xmlns:a16="http://schemas.microsoft.com/office/drawing/2014/main" id="{00000000-0008-0000-0200-00000F385A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38950" y="200025"/>
          <a:ext cx="12287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95250</xdr:colOff>
      <xdr:row>1</xdr:row>
      <xdr:rowOff>76200</xdr:rowOff>
    </xdr:from>
    <xdr:to>
      <xdr:col>9</xdr:col>
      <xdr:colOff>542925</xdr:colOff>
      <xdr:row>6</xdr:row>
      <xdr:rowOff>76200</xdr:rowOff>
    </xdr:to>
    <xdr:pic>
      <xdr:nvPicPr>
        <xdr:cNvPr id="5902351" name="Picture 4" descr="SW Logo_AT">
          <a:extLst>
            <a:ext uri="{FF2B5EF4-FFF2-40B4-BE49-F238E27FC236}">
              <a16:creationId xmlns:a16="http://schemas.microsoft.com/office/drawing/2014/main" id="{00000000-0008-0000-0300-00000F105A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38950" y="200025"/>
          <a:ext cx="12287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733332</xdr:colOff>
      <xdr:row>78</xdr:row>
      <xdr:rowOff>130485</xdr:rowOff>
    </xdr:from>
    <xdr:to>
      <xdr:col>1</xdr:col>
      <xdr:colOff>7332</xdr:colOff>
      <xdr:row>79</xdr:row>
      <xdr:rowOff>49792</xdr:rowOff>
    </xdr:to>
    <xdr:sp macro="" textlink="">
      <xdr:nvSpPr>
        <xdr:cNvPr id="3" name="Gleichschenkliges Dreieck 2">
          <a:extLst>
            <a:ext uri="{FF2B5EF4-FFF2-40B4-BE49-F238E27FC236}">
              <a16:creationId xmlns:a16="http://schemas.microsoft.com/office/drawing/2014/main" id="{00000000-0008-0000-0400-000003000000}"/>
            </a:ext>
          </a:extLst>
        </xdr:cNvPr>
        <xdr:cNvSpPr/>
      </xdr:nvSpPr>
      <xdr:spPr>
        <a:xfrm rot="2765484">
          <a:off x="715793" y="7472749"/>
          <a:ext cx="71078" cy="36000"/>
        </a:xfrm>
        <a:prstGeom prst="triangle">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de-AT"/>
        </a:p>
      </xdr:txBody>
    </xdr:sp>
    <xdr:clientData/>
  </xdr:twoCellAnchor>
  <xdr:twoCellAnchor editAs="oneCell">
    <xdr:from>
      <xdr:col>0</xdr:col>
      <xdr:colOff>28575</xdr:colOff>
      <xdr:row>49</xdr:row>
      <xdr:rowOff>47625</xdr:rowOff>
    </xdr:from>
    <xdr:to>
      <xdr:col>7</xdr:col>
      <xdr:colOff>714375</xdr:colOff>
      <xdr:row>72</xdr:row>
      <xdr:rowOff>114300</xdr:rowOff>
    </xdr:to>
    <xdr:pic>
      <xdr:nvPicPr>
        <xdr:cNvPr id="114103" name="Picture 1063">
          <a:extLst>
            <a:ext uri="{FF2B5EF4-FFF2-40B4-BE49-F238E27FC236}">
              <a16:creationId xmlns:a16="http://schemas.microsoft.com/office/drawing/2014/main" id="{00000000-0008-0000-0400-0000B7BD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15306675"/>
          <a:ext cx="5257800" cy="3790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66675</xdr:colOff>
      <xdr:row>70</xdr:row>
      <xdr:rowOff>76200</xdr:rowOff>
    </xdr:from>
    <xdr:to>
      <xdr:col>7</xdr:col>
      <xdr:colOff>571500</xdr:colOff>
      <xdr:row>80</xdr:row>
      <xdr:rowOff>133350</xdr:rowOff>
    </xdr:to>
    <xdr:graphicFrame macro="">
      <xdr:nvGraphicFramePr>
        <xdr:cNvPr id="4318775" name="Diagramm 2">
          <a:extLst>
            <a:ext uri="{FF2B5EF4-FFF2-40B4-BE49-F238E27FC236}">
              <a16:creationId xmlns:a16="http://schemas.microsoft.com/office/drawing/2014/main" id="{00000000-0008-0000-0600-000037E64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209550</xdr:colOff>
      <xdr:row>84</xdr:row>
      <xdr:rowOff>142875</xdr:rowOff>
    </xdr:from>
    <xdr:to>
      <xdr:col>7</xdr:col>
      <xdr:colOff>523875</xdr:colOff>
      <xdr:row>92</xdr:row>
      <xdr:rowOff>314325</xdr:rowOff>
    </xdr:to>
    <xdr:graphicFrame macro="">
      <xdr:nvGraphicFramePr>
        <xdr:cNvPr id="3319766" name="Diagramm 2">
          <a:extLst>
            <a:ext uri="{FF2B5EF4-FFF2-40B4-BE49-F238E27FC236}">
              <a16:creationId xmlns:a16="http://schemas.microsoft.com/office/drawing/2014/main" id="{00000000-0008-0000-0700-0000D6A73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57150</xdr:colOff>
      <xdr:row>74</xdr:row>
      <xdr:rowOff>76200</xdr:rowOff>
    </xdr:from>
    <xdr:to>
      <xdr:col>6</xdr:col>
      <xdr:colOff>542925</xdr:colOff>
      <xdr:row>82</xdr:row>
      <xdr:rowOff>133350</xdr:rowOff>
    </xdr:to>
    <xdr:pic>
      <xdr:nvPicPr>
        <xdr:cNvPr id="3319767" name="Picture 2360">
          <a:extLst>
            <a:ext uri="{FF2B5EF4-FFF2-40B4-BE49-F238E27FC236}">
              <a16:creationId xmlns:a16="http://schemas.microsoft.com/office/drawing/2014/main" id="{00000000-0008-0000-0700-0000D7A732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28675" y="10887075"/>
          <a:ext cx="4076700" cy="3429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209550</xdr:colOff>
      <xdr:row>84</xdr:row>
      <xdr:rowOff>142875</xdr:rowOff>
    </xdr:from>
    <xdr:to>
      <xdr:col>7</xdr:col>
      <xdr:colOff>523875</xdr:colOff>
      <xdr:row>92</xdr:row>
      <xdr:rowOff>314325</xdr:rowOff>
    </xdr:to>
    <xdr:graphicFrame macro="">
      <xdr:nvGraphicFramePr>
        <xdr:cNvPr id="5911577" name="Diagramm 2">
          <a:extLst>
            <a:ext uri="{FF2B5EF4-FFF2-40B4-BE49-F238E27FC236}">
              <a16:creationId xmlns:a16="http://schemas.microsoft.com/office/drawing/2014/main" id="{00000000-0008-0000-0800-000019345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57150</xdr:colOff>
      <xdr:row>74</xdr:row>
      <xdr:rowOff>76200</xdr:rowOff>
    </xdr:from>
    <xdr:to>
      <xdr:col>6</xdr:col>
      <xdr:colOff>542925</xdr:colOff>
      <xdr:row>82</xdr:row>
      <xdr:rowOff>133350</xdr:rowOff>
    </xdr:to>
    <xdr:pic>
      <xdr:nvPicPr>
        <xdr:cNvPr id="5911578" name="Picture 2360">
          <a:extLst>
            <a:ext uri="{FF2B5EF4-FFF2-40B4-BE49-F238E27FC236}">
              <a16:creationId xmlns:a16="http://schemas.microsoft.com/office/drawing/2014/main" id="{00000000-0008-0000-0800-00001A345A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28675" y="10887075"/>
          <a:ext cx="4076700" cy="3429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209550</xdr:colOff>
      <xdr:row>84</xdr:row>
      <xdr:rowOff>142875</xdr:rowOff>
    </xdr:from>
    <xdr:to>
      <xdr:col>7</xdr:col>
      <xdr:colOff>523875</xdr:colOff>
      <xdr:row>92</xdr:row>
      <xdr:rowOff>314325</xdr:rowOff>
    </xdr:to>
    <xdr:graphicFrame macro="">
      <xdr:nvGraphicFramePr>
        <xdr:cNvPr id="5901337" name="Diagramm 2">
          <a:extLst>
            <a:ext uri="{FF2B5EF4-FFF2-40B4-BE49-F238E27FC236}">
              <a16:creationId xmlns:a16="http://schemas.microsoft.com/office/drawing/2014/main" id="{00000000-0008-0000-0900-0000190C5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57150</xdr:colOff>
      <xdr:row>74</xdr:row>
      <xdr:rowOff>76200</xdr:rowOff>
    </xdr:from>
    <xdr:to>
      <xdr:col>6</xdr:col>
      <xdr:colOff>542925</xdr:colOff>
      <xdr:row>82</xdr:row>
      <xdr:rowOff>133350</xdr:rowOff>
    </xdr:to>
    <xdr:pic>
      <xdr:nvPicPr>
        <xdr:cNvPr id="5901338" name="Picture 2360">
          <a:extLst>
            <a:ext uri="{FF2B5EF4-FFF2-40B4-BE49-F238E27FC236}">
              <a16:creationId xmlns:a16="http://schemas.microsoft.com/office/drawing/2014/main" id="{00000000-0008-0000-0900-00001A0C5A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28675" y="10887075"/>
          <a:ext cx="4076700" cy="3429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ehyd.gv.at/" TargetMode="Externa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B1:R110"/>
  <sheetViews>
    <sheetView showGridLines="0" tabSelected="1" topLeftCell="A43" workbookViewId="0">
      <selection activeCell="H28" sqref="H28:J28"/>
    </sheetView>
  </sheetViews>
  <sheetFormatPr baseColWidth="10" defaultRowHeight="17.100000000000001" customHeight="1" x14ac:dyDescent="0.2"/>
  <cols>
    <col min="1" max="1" width="4.85546875" style="334" customWidth="1"/>
    <col min="2" max="2" width="19.7109375" style="334" customWidth="1"/>
    <col min="3" max="3" width="14.140625" style="334" customWidth="1"/>
    <col min="4" max="4" width="16.7109375" style="335" customWidth="1"/>
    <col min="5" max="5" width="9.7109375" style="334" customWidth="1"/>
    <col min="6" max="6" width="10" style="334" customWidth="1"/>
    <col min="7" max="7" width="15.7109375" style="334" bestFit="1" customWidth="1"/>
    <col min="8" max="8" width="10.28515625" style="334" customWidth="1"/>
    <col min="9" max="9" width="11.7109375" style="334" customWidth="1"/>
    <col min="10" max="10" width="19.42578125" style="334" bestFit="1" customWidth="1"/>
    <col min="11" max="11" width="1.85546875" style="334" customWidth="1"/>
    <col min="12" max="15" width="0" hidden="1" customWidth="1"/>
    <col min="16" max="18" width="10.85546875" customWidth="1"/>
    <col min="19" max="16384" width="11.42578125" style="334"/>
  </cols>
  <sheetData>
    <row r="1" spans="2:10" ht="30" customHeight="1" thickBot="1" x14ac:dyDescent="0.25">
      <c r="B1" s="1308" t="s">
        <v>428</v>
      </c>
      <c r="C1" s="1309"/>
      <c r="D1" s="1309"/>
      <c r="E1" s="1309"/>
      <c r="F1" s="1309"/>
      <c r="G1" s="1309"/>
      <c r="H1" s="1309"/>
      <c r="I1" s="1309"/>
      <c r="J1" s="1310"/>
    </row>
    <row r="2" spans="2:10" ht="17.100000000000001" customHeight="1" x14ac:dyDescent="0.2">
      <c r="B2" s="566" t="s">
        <v>512</v>
      </c>
      <c r="C2" s="567"/>
      <c r="D2" s="567"/>
      <c r="E2" s="567"/>
      <c r="F2" s="567"/>
      <c r="G2" s="567"/>
      <c r="H2" s="567"/>
      <c r="I2" s="567"/>
      <c r="J2" s="568"/>
    </row>
    <row r="3" spans="2:10" ht="17.100000000000001" customHeight="1" x14ac:dyDescent="0.2">
      <c r="B3" s="569"/>
      <c r="C3" s="570"/>
      <c r="D3" s="570"/>
      <c r="E3" s="570"/>
      <c r="F3" s="570"/>
      <c r="G3" s="570"/>
      <c r="H3" s="570"/>
      <c r="I3" s="570"/>
      <c r="J3" s="571"/>
    </row>
    <row r="4" spans="2:10" ht="17.100000000000001" customHeight="1" x14ac:dyDescent="0.2">
      <c r="B4" s="569"/>
      <c r="C4" s="570"/>
      <c r="D4" s="570"/>
      <c r="E4" s="570"/>
      <c r="F4" s="570"/>
      <c r="G4" s="570"/>
      <c r="H4" s="570"/>
      <c r="I4" s="570"/>
      <c r="J4" s="571"/>
    </row>
    <row r="5" spans="2:10" ht="17.100000000000001" customHeight="1" thickBot="1" x14ac:dyDescent="0.25">
      <c r="B5" s="1305"/>
      <c r="C5" s="1306"/>
      <c r="D5" s="1306"/>
      <c r="E5" s="1306"/>
      <c r="F5" s="1306"/>
      <c r="G5" s="1306"/>
      <c r="H5" s="1306"/>
      <c r="I5" s="1306"/>
      <c r="J5" s="1307"/>
    </row>
    <row r="6" spans="2:10" ht="17.100000000000001" customHeight="1" thickBot="1" x14ac:dyDescent="0.25">
      <c r="D6" s="334"/>
    </row>
    <row r="7" spans="2:10" ht="21.75" customHeight="1" thickBot="1" x14ac:dyDescent="0.3">
      <c r="B7" s="1311" t="s">
        <v>511</v>
      </c>
      <c r="C7" s="579" t="s">
        <v>509</v>
      </c>
      <c r="D7" s="580"/>
      <c r="E7" s="580"/>
      <c r="F7" s="580"/>
      <c r="G7" s="580"/>
      <c r="H7" s="580"/>
      <c r="I7" s="580"/>
      <c r="J7" s="581"/>
    </row>
    <row r="8" spans="2:10" ht="15" customHeight="1" thickBot="1" x14ac:dyDescent="0.25">
      <c r="B8" s="572"/>
      <c r="C8" s="572"/>
      <c r="D8" s="572"/>
      <c r="E8" s="572"/>
      <c r="F8" s="572"/>
      <c r="G8" s="572"/>
      <c r="H8" s="572"/>
      <c r="I8" s="572"/>
      <c r="J8" s="572"/>
    </row>
    <row r="9" spans="2:10" ht="17.100000000000001" customHeight="1" x14ac:dyDescent="0.25">
      <c r="B9" s="582" t="s">
        <v>321</v>
      </c>
      <c r="C9" s="583"/>
      <c r="D9" s="574"/>
      <c r="E9" s="573" t="s">
        <v>322</v>
      </c>
      <c r="F9" s="574"/>
      <c r="G9" s="575" t="s">
        <v>411</v>
      </c>
      <c r="H9" s="576"/>
      <c r="I9" s="577" t="s">
        <v>323</v>
      </c>
      <c r="J9" s="578"/>
    </row>
    <row r="10" spans="2:10" ht="17.100000000000001" customHeight="1" x14ac:dyDescent="0.2">
      <c r="B10" s="549" t="s">
        <v>505</v>
      </c>
      <c r="C10" s="550"/>
      <c r="D10" s="551"/>
      <c r="E10" s="552">
        <v>20.37</v>
      </c>
      <c r="F10" s="552"/>
      <c r="G10" s="553">
        <v>1</v>
      </c>
      <c r="H10" s="553"/>
      <c r="I10" s="554">
        <f>+E10*G10</f>
        <v>20.37</v>
      </c>
      <c r="J10" s="555" t="s">
        <v>76</v>
      </c>
    </row>
    <row r="11" spans="2:10" ht="17.100000000000001" customHeight="1" x14ac:dyDescent="0.2">
      <c r="B11" s="549" t="s">
        <v>506</v>
      </c>
      <c r="C11" s="550"/>
      <c r="D11" s="551"/>
      <c r="E11" s="552">
        <v>11.03</v>
      </c>
      <c r="F11" s="552"/>
      <c r="G11" s="553">
        <v>1</v>
      </c>
      <c r="H11" s="553"/>
      <c r="I11" s="554">
        <f>+E11*G11</f>
        <v>11.03</v>
      </c>
      <c r="J11" s="555" t="s">
        <v>76</v>
      </c>
    </row>
    <row r="12" spans="2:10" ht="17.100000000000001" customHeight="1" x14ac:dyDescent="0.2">
      <c r="B12" s="549" t="s">
        <v>507</v>
      </c>
      <c r="C12" s="550"/>
      <c r="D12" s="551"/>
      <c r="E12" s="552">
        <v>37.68</v>
      </c>
      <c r="F12" s="552"/>
      <c r="G12" s="553">
        <v>1</v>
      </c>
      <c r="H12" s="553"/>
      <c r="I12" s="554">
        <f>+E12*G12</f>
        <v>37.68</v>
      </c>
      <c r="J12" s="555" t="s">
        <v>76</v>
      </c>
    </row>
    <row r="13" spans="2:10" ht="17.100000000000001" customHeight="1" x14ac:dyDescent="0.2">
      <c r="B13" s="549" t="s">
        <v>508</v>
      </c>
      <c r="C13" s="550"/>
      <c r="D13" s="551"/>
      <c r="E13" s="552">
        <v>34.799999999999997</v>
      </c>
      <c r="F13" s="552"/>
      <c r="G13" s="553">
        <v>1</v>
      </c>
      <c r="H13" s="553"/>
      <c r="I13" s="554">
        <f>+E13*G13</f>
        <v>34.799999999999997</v>
      </c>
      <c r="J13" s="555" t="s">
        <v>76</v>
      </c>
    </row>
    <row r="14" spans="2:10" ht="17.100000000000001" customHeight="1" x14ac:dyDescent="0.2">
      <c r="B14" s="549" t="s">
        <v>510</v>
      </c>
      <c r="C14" s="550"/>
      <c r="D14" s="551"/>
      <c r="E14" s="552"/>
      <c r="F14" s="552"/>
      <c r="G14" s="553"/>
      <c r="H14" s="553"/>
      <c r="I14" s="554">
        <f>+E14*G14</f>
        <v>0</v>
      </c>
      <c r="J14" s="555" t="s">
        <v>76</v>
      </c>
    </row>
    <row r="15" spans="2:10" ht="17.100000000000001" customHeight="1" thickBot="1" x14ac:dyDescent="0.3">
      <c r="B15" s="364" t="s">
        <v>324</v>
      </c>
      <c r="C15" s="365"/>
      <c r="D15" s="366"/>
      <c r="E15" s="357"/>
      <c r="F15" s="357"/>
      <c r="G15" s="357"/>
      <c r="H15" s="357"/>
      <c r="I15" s="556">
        <f>SUM(I10:I14)</f>
        <v>103.88</v>
      </c>
      <c r="J15" s="557" t="s">
        <v>76</v>
      </c>
    </row>
    <row r="16" spans="2:10" ht="17.100000000000001" customHeight="1" thickBot="1" x14ac:dyDescent="0.25">
      <c r="B16" s="496"/>
      <c r="C16" s="496"/>
      <c r="D16" s="496"/>
      <c r="E16" s="496"/>
      <c r="F16" s="496"/>
      <c r="G16" s="496"/>
      <c r="H16" s="496"/>
      <c r="I16" s="496"/>
      <c r="J16" s="496"/>
    </row>
    <row r="17" spans="2:10" ht="17.100000000000001" customHeight="1" x14ac:dyDescent="0.25">
      <c r="B17" s="519" t="s">
        <v>412</v>
      </c>
      <c r="C17" s="520"/>
      <c r="D17" s="520"/>
      <c r="E17" s="520"/>
      <c r="F17" s="520"/>
      <c r="G17" s="563"/>
      <c r="H17" s="563"/>
      <c r="I17" s="520"/>
      <c r="J17" s="537"/>
    </row>
    <row r="18" spans="2:10" ht="17.100000000000001" customHeight="1" x14ac:dyDescent="0.25">
      <c r="B18" s="368" t="s">
        <v>413</v>
      </c>
      <c r="C18" s="369"/>
      <c r="D18" s="442"/>
      <c r="E18" s="442"/>
      <c r="F18" s="442"/>
      <c r="G18" s="342" t="s">
        <v>451</v>
      </c>
      <c r="H18" s="443" t="s">
        <v>326</v>
      </c>
      <c r="I18" s="564">
        <v>1E-4</v>
      </c>
      <c r="J18" s="565"/>
    </row>
    <row r="19" spans="2:10" ht="17.100000000000001" customHeight="1" thickBot="1" x14ac:dyDescent="0.4">
      <c r="B19" s="371" t="s">
        <v>415</v>
      </c>
      <c r="C19" s="357"/>
      <c r="D19" s="358"/>
      <c r="E19" s="357"/>
      <c r="F19" s="357"/>
      <c r="G19" s="344" t="s">
        <v>449</v>
      </c>
      <c r="H19" s="444" t="s">
        <v>450</v>
      </c>
      <c r="I19" s="558">
        <f>IF(I18="","",+$I$18*1000*60)</f>
        <v>6</v>
      </c>
      <c r="J19" s="559"/>
    </row>
    <row r="20" spans="2:10" ht="17.100000000000001" customHeight="1" thickBot="1" x14ac:dyDescent="0.25">
      <c r="B20" s="514"/>
      <c r="C20" s="514"/>
      <c r="D20" s="514"/>
      <c r="E20" s="514"/>
      <c r="F20" s="514"/>
      <c r="G20" s="514"/>
      <c r="H20" s="514"/>
      <c r="I20" s="514"/>
      <c r="J20" s="514"/>
    </row>
    <row r="21" spans="2:10" ht="17.100000000000001" customHeight="1" x14ac:dyDescent="0.25">
      <c r="B21" s="519" t="s">
        <v>438</v>
      </c>
      <c r="C21" s="520"/>
      <c r="D21" s="520"/>
      <c r="E21" s="520"/>
      <c r="F21" s="520"/>
      <c r="G21" s="449"/>
      <c r="H21" s="374"/>
      <c r="I21" s="374"/>
      <c r="J21" s="448">
        <v>5216</v>
      </c>
    </row>
    <row r="22" spans="2:10" ht="17.100000000000001" customHeight="1" x14ac:dyDescent="0.2">
      <c r="B22" s="521" t="s">
        <v>436</v>
      </c>
      <c r="C22" s="522"/>
      <c r="D22" s="522"/>
      <c r="E22" s="522"/>
      <c r="F22" s="522"/>
      <c r="G22" s="522"/>
      <c r="H22" s="522"/>
      <c r="I22" s="522"/>
      <c r="J22" s="523"/>
    </row>
    <row r="23" spans="2:10" ht="17.100000000000001" customHeight="1" x14ac:dyDescent="0.2">
      <c r="B23" s="524"/>
      <c r="C23" s="525"/>
      <c r="D23" s="525"/>
      <c r="E23" s="525"/>
      <c r="F23" s="525"/>
      <c r="G23" s="525"/>
      <c r="H23" s="525"/>
      <c r="I23" s="525"/>
      <c r="J23" s="526"/>
    </row>
    <row r="24" spans="2:10" ht="17.100000000000001" customHeight="1" thickBot="1" x14ac:dyDescent="0.3">
      <c r="B24" s="531" t="s">
        <v>437</v>
      </c>
      <c r="C24" s="532"/>
      <c r="D24" s="532"/>
      <c r="E24" s="532"/>
      <c r="F24" s="532"/>
      <c r="G24" s="532"/>
      <c r="H24" s="532"/>
      <c r="I24" s="532"/>
      <c r="J24" s="400">
        <v>5</v>
      </c>
    </row>
    <row r="25" spans="2:10" ht="17.100000000000001" customHeight="1" thickBot="1" x14ac:dyDescent="0.25">
      <c r="B25" s="562"/>
      <c r="C25" s="562"/>
      <c r="D25" s="562"/>
      <c r="E25" s="562"/>
      <c r="F25" s="562"/>
      <c r="G25" s="562"/>
      <c r="H25" s="562"/>
      <c r="I25" s="562"/>
      <c r="J25" s="562"/>
    </row>
    <row r="26" spans="2:10" ht="17.100000000000001" customHeight="1" x14ac:dyDescent="0.25">
      <c r="B26" s="373" t="s">
        <v>427</v>
      </c>
      <c r="C26" s="374"/>
      <c r="D26" s="374"/>
      <c r="E26" s="374"/>
      <c r="F26" s="374"/>
      <c r="G26" s="374"/>
      <c r="H26" s="374"/>
      <c r="I26" s="374"/>
      <c r="J26" s="375"/>
    </row>
    <row r="27" spans="2:10" ht="17.100000000000001" customHeight="1" x14ac:dyDescent="0.2">
      <c r="B27" s="376" t="s">
        <v>432</v>
      </c>
      <c r="C27" s="377"/>
      <c r="D27" s="377"/>
      <c r="E27" s="377"/>
      <c r="F27" s="377"/>
      <c r="G27" s="378"/>
      <c r="H27" s="378"/>
      <c r="I27" s="378"/>
      <c r="J27" s="379"/>
    </row>
    <row r="28" spans="2:10" ht="17.100000000000001" customHeight="1" x14ac:dyDescent="0.25">
      <c r="B28" s="516" t="s">
        <v>417</v>
      </c>
      <c r="C28" s="486"/>
      <c r="D28" s="486"/>
      <c r="E28" s="486"/>
      <c r="F28" s="486"/>
      <c r="G28" s="367"/>
      <c r="H28" s="517" t="s">
        <v>372</v>
      </c>
      <c r="I28" s="517"/>
      <c r="J28" s="518"/>
    </row>
    <row r="29" spans="2:10" ht="17.100000000000001" customHeight="1" x14ac:dyDescent="0.25">
      <c r="B29" s="516" t="s">
        <v>418</v>
      </c>
      <c r="C29" s="486"/>
      <c r="D29" s="486"/>
      <c r="E29" s="486"/>
      <c r="F29" s="486"/>
      <c r="G29" s="367"/>
      <c r="H29" s="560">
        <v>2</v>
      </c>
      <c r="I29" s="560"/>
      <c r="J29" s="561"/>
    </row>
    <row r="30" spans="2:10" ht="17.100000000000001" customHeight="1" x14ac:dyDescent="0.2">
      <c r="B30" s="516" t="s">
        <v>419</v>
      </c>
      <c r="C30" s="486"/>
      <c r="D30" s="486"/>
      <c r="E30" s="486"/>
      <c r="F30" s="486"/>
      <c r="G30" s="391" t="s">
        <v>420</v>
      </c>
      <c r="H30" s="527">
        <f>VLOOKUP($H$28,$B$71:$H$109,5,FALSE)</f>
        <v>300</v>
      </c>
      <c r="I30" s="527"/>
      <c r="J30" s="528"/>
    </row>
    <row r="31" spans="2:10" ht="17.100000000000001" customHeight="1" x14ac:dyDescent="0.2">
      <c r="B31" s="516" t="s">
        <v>421</v>
      </c>
      <c r="C31" s="486"/>
      <c r="D31" s="486"/>
      <c r="E31" s="486"/>
      <c r="F31" s="486"/>
      <c r="G31" s="391" t="s">
        <v>422</v>
      </c>
      <c r="H31" s="527">
        <f>VLOOKUP($H$28,$B$71:$H$109,3,FALSE)</f>
        <v>360</v>
      </c>
      <c r="I31" s="527"/>
      <c r="J31" s="528"/>
    </row>
    <row r="32" spans="2:10" ht="17.100000000000001" customHeight="1" x14ac:dyDescent="0.2">
      <c r="B32" s="516" t="s">
        <v>423</v>
      </c>
      <c r="C32" s="486"/>
      <c r="D32" s="486"/>
      <c r="E32" s="486"/>
      <c r="F32" s="486"/>
      <c r="G32" s="391" t="s">
        <v>424</v>
      </c>
      <c r="H32" s="527">
        <f>VLOOKUP($H$28,$B$71:$H$109,4,FALSE)</f>
        <v>90</v>
      </c>
      <c r="I32" s="527"/>
      <c r="J32" s="528"/>
    </row>
    <row r="33" spans="2:18" ht="17.100000000000001" customHeight="1" x14ac:dyDescent="0.35">
      <c r="B33" s="516" t="s">
        <v>439</v>
      </c>
      <c r="C33" s="486"/>
      <c r="D33" s="486"/>
      <c r="E33" s="486"/>
      <c r="F33" s="486"/>
      <c r="G33" s="392" t="s">
        <v>430</v>
      </c>
      <c r="H33" s="547">
        <f>VLOOKUP($H$28,$B$71:$H$109,2,FALSE)</f>
        <v>18.57</v>
      </c>
      <c r="I33" s="547"/>
      <c r="J33" s="548"/>
    </row>
    <row r="34" spans="2:18" ht="17.100000000000001" customHeight="1" x14ac:dyDescent="0.35">
      <c r="B34" s="516" t="s">
        <v>440</v>
      </c>
      <c r="C34" s="486"/>
      <c r="D34" s="486"/>
      <c r="E34" s="486"/>
      <c r="F34" s="486"/>
      <c r="G34" s="392" t="s">
        <v>443</v>
      </c>
      <c r="H34" s="527">
        <f>VLOOKUP($H$28,$B$71:$I$109,8,FALSE)</f>
        <v>270</v>
      </c>
      <c r="I34" s="527"/>
      <c r="J34" s="528"/>
    </row>
    <row r="35" spans="2:18" ht="33.950000000000003" customHeight="1" thickBot="1" x14ac:dyDescent="0.25">
      <c r="B35" s="489" t="s">
        <v>425</v>
      </c>
      <c r="C35" s="490"/>
      <c r="D35" s="490"/>
      <c r="E35" s="490"/>
      <c r="F35" s="490"/>
      <c r="G35" s="393" t="s">
        <v>431</v>
      </c>
      <c r="H35" s="529">
        <f>+I15/H29</f>
        <v>51.94</v>
      </c>
      <c r="I35" s="529"/>
      <c r="J35" s="530"/>
    </row>
    <row r="36" spans="2:18" ht="17.100000000000001" customHeight="1" thickBot="1" x14ac:dyDescent="0.25">
      <c r="B36" s="533"/>
      <c r="C36" s="533"/>
      <c r="D36" s="533"/>
      <c r="E36" s="533"/>
      <c r="F36" s="533"/>
      <c r="G36" s="533"/>
      <c r="H36" s="533"/>
      <c r="I36" s="533"/>
      <c r="J36" s="533"/>
    </row>
    <row r="37" spans="2:18" ht="17.100000000000001" customHeight="1" x14ac:dyDescent="0.25">
      <c r="B37" s="373" t="s">
        <v>501</v>
      </c>
      <c r="C37" s="374"/>
      <c r="D37" s="374"/>
      <c r="E37" s="374"/>
      <c r="F37" s="374"/>
      <c r="G37" s="374"/>
      <c r="H37" s="374"/>
      <c r="I37" s="374"/>
      <c r="J37" s="375"/>
    </row>
    <row r="38" spans="2:18" ht="17.100000000000001" customHeight="1" x14ac:dyDescent="0.25">
      <c r="B38" s="485" t="s">
        <v>434</v>
      </c>
      <c r="C38" s="486"/>
      <c r="D38" s="486"/>
      <c r="E38" s="486"/>
      <c r="F38" s="486"/>
      <c r="G38" s="392" t="s">
        <v>433</v>
      </c>
      <c r="H38" s="534">
        <v>30</v>
      </c>
      <c r="I38" s="534"/>
      <c r="J38" s="535"/>
    </row>
    <row r="39" spans="2:18" ht="17.100000000000001" customHeight="1" x14ac:dyDescent="0.35">
      <c r="B39" s="485" t="s">
        <v>155</v>
      </c>
      <c r="C39" s="486"/>
      <c r="D39" s="486"/>
      <c r="E39" s="486"/>
      <c r="F39" s="486"/>
      <c r="G39" s="392" t="s">
        <v>435</v>
      </c>
      <c r="H39" s="487">
        <v>0.5</v>
      </c>
      <c r="I39" s="487"/>
      <c r="J39" s="488"/>
      <c r="M39" s="334"/>
      <c r="N39" s="334"/>
      <c r="O39" s="334"/>
      <c r="P39" s="334"/>
      <c r="Q39" s="334"/>
      <c r="R39" s="334"/>
    </row>
    <row r="40" spans="2:18" ht="17.100000000000001" customHeight="1" thickBot="1" x14ac:dyDescent="0.3">
      <c r="B40" s="510" t="s">
        <v>214</v>
      </c>
      <c r="C40" s="511"/>
      <c r="D40" s="511"/>
      <c r="E40" s="511"/>
      <c r="F40" s="511"/>
      <c r="G40" s="511"/>
      <c r="H40" s="504">
        <v>25</v>
      </c>
      <c r="I40" s="504"/>
      <c r="J40" s="505"/>
      <c r="M40" s="334"/>
      <c r="N40" s="334"/>
      <c r="O40" s="334"/>
      <c r="P40" s="334"/>
      <c r="Q40" s="334"/>
      <c r="R40" s="334"/>
    </row>
    <row r="41" spans="2:18" ht="17.100000000000001" customHeight="1" thickBot="1" x14ac:dyDescent="0.25">
      <c r="B41" s="496"/>
      <c r="C41" s="496"/>
      <c r="D41" s="496"/>
      <c r="E41" s="496"/>
      <c r="F41" s="496"/>
      <c r="G41" s="496"/>
      <c r="H41" s="496"/>
      <c r="I41" s="496"/>
      <c r="J41" s="496"/>
      <c r="M41" s="334"/>
      <c r="N41" s="334"/>
      <c r="O41" s="334"/>
      <c r="P41" s="334"/>
      <c r="Q41" s="334"/>
      <c r="R41" s="334"/>
    </row>
    <row r="42" spans="2:18" ht="17.100000000000001" customHeight="1" thickBot="1" x14ac:dyDescent="0.3">
      <c r="B42" s="501" t="s">
        <v>325</v>
      </c>
      <c r="C42" s="502"/>
      <c r="D42" s="502"/>
      <c r="E42" s="502"/>
      <c r="F42" s="502"/>
      <c r="G42" s="502"/>
      <c r="H42" s="502"/>
      <c r="I42" s="502"/>
      <c r="J42" s="503"/>
      <c r="N42" s="334"/>
      <c r="O42" s="334"/>
      <c r="P42" s="334"/>
      <c r="Q42" s="334"/>
      <c r="R42" s="334"/>
    </row>
    <row r="43" spans="2:18" ht="17.100000000000001" customHeight="1" x14ac:dyDescent="0.2">
      <c r="B43" s="506" t="s">
        <v>108</v>
      </c>
      <c r="C43" s="507"/>
      <c r="D43" s="507"/>
      <c r="E43" s="507"/>
      <c r="F43" s="507"/>
      <c r="G43" s="507"/>
      <c r="H43" s="340" t="s">
        <v>115</v>
      </c>
      <c r="I43" s="341" t="s">
        <v>326</v>
      </c>
      <c r="J43" s="398">
        <f>0.001</f>
        <v>1E-3</v>
      </c>
      <c r="N43" s="334"/>
      <c r="O43" s="334"/>
      <c r="P43" s="334"/>
      <c r="Q43" s="334"/>
      <c r="R43" s="334"/>
    </row>
    <row r="44" spans="2:18" ht="17.100000000000001" customHeight="1" x14ac:dyDescent="0.2">
      <c r="B44" s="508" t="s">
        <v>51</v>
      </c>
      <c r="C44" s="509"/>
      <c r="D44" s="509"/>
      <c r="E44" s="509"/>
      <c r="F44" s="509"/>
      <c r="G44" s="509"/>
      <c r="H44" s="342" t="s">
        <v>66</v>
      </c>
      <c r="I44" s="343" t="s">
        <v>327</v>
      </c>
      <c r="J44" s="396">
        <v>1</v>
      </c>
    </row>
    <row r="45" spans="2:18" ht="17.100000000000001" customHeight="1" x14ac:dyDescent="0.2">
      <c r="B45" s="508" t="s">
        <v>328</v>
      </c>
      <c r="C45" s="509"/>
      <c r="D45" s="509"/>
      <c r="E45" s="509"/>
      <c r="F45" s="509"/>
      <c r="G45" s="509"/>
      <c r="H45" s="342"/>
      <c r="I45" s="343" t="s">
        <v>329</v>
      </c>
      <c r="J45" s="397">
        <v>0.1</v>
      </c>
    </row>
    <row r="46" spans="2:18" ht="17.100000000000001" customHeight="1" x14ac:dyDescent="0.2">
      <c r="B46" s="508" t="s">
        <v>229</v>
      </c>
      <c r="C46" s="509"/>
      <c r="D46" s="509"/>
      <c r="E46" s="509"/>
      <c r="F46" s="509"/>
      <c r="G46" s="509"/>
      <c r="H46" s="342"/>
      <c r="I46" s="343" t="s">
        <v>327</v>
      </c>
      <c r="J46" s="399">
        <v>1</v>
      </c>
      <c r="R46" s="22"/>
    </row>
    <row r="47" spans="2:18" ht="17.100000000000001" customHeight="1" x14ac:dyDescent="0.25">
      <c r="B47" s="508" t="s">
        <v>330</v>
      </c>
      <c r="C47" s="509"/>
      <c r="D47" s="509"/>
      <c r="E47" s="509"/>
      <c r="F47" s="509"/>
      <c r="G47" s="509"/>
      <c r="H47" s="342" t="s">
        <v>132</v>
      </c>
      <c r="I47" s="343" t="s">
        <v>329</v>
      </c>
      <c r="J47" s="385">
        <f>H30/100</f>
        <v>3</v>
      </c>
      <c r="L47" s="406">
        <f>(J47/2)*(J47/2)*3.1415927*H29</f>
        <v>14.13716715</v>
      </c>
      <c r="R47" s="22"/>
    </row>
    <row r="48" spans="2:18" ht="17.100000000000001" customHeight="1" x14ac:dyDescent="0.25">
      <c r="B48" s="508" t="s">
        <v>331</v>
      </c>
      <c r="C48" s="509"/>
      <c r="D48" s="509"/>
      <c r="E48" s="509"/>
      <c r="F48" s="509"/>
      <c r="G48" s="509"/>
      <c r="H48" s="342" t="s">
        <v>212</v>
      </c>
      <c r="I48" s="343" t="s">
        <v>329</v>
      </c>
      <c r="J48" s="385">
        <f>VLOOKUP($H$28,$B$71:$H$109,7,FALSE)</f>
        <v>0.1</v>
      </c>
      <c r="R48" s="441"/>
    </row>
    <row r="49" spans="2:18" ht="16.5" customHeight="1" x14ac:dyDescent="0.2">
      <c r="B49" s="508" t="s">
        <v>155</v>
      </c>
      <c r="C49" s="509"/>
      <c r="D49" s="509"/>
      <c r="E49" s="509"/>
      <c r="F49" s="509"/>
      <c r="G49" s="509"/>
      <c r="H49" s="342"/>
      <c r="I49" s="343" t="s">
        <v>329</v>
      </c>
      <c r="J49" s="385">
        <f>V46</f>
        <v>0</v>
      </c>
      <c r="R49" s="23"/>
    </row>
    <row r="50" spans="2:18" ht="16.5" customHeight="1" x14ac:dyDescent="0.2">
      <c r="B50" s="508" t="s">
        <v>214</v>
      </c>
      <c r="C50" s="509"/>
      <c r="D50" s="509"/>
      <c r="E50" s="509"/>
      <c r="F50" s="509"/>
      <c r="G50" s="509"/>
      <c r="H50" s="342"/>
      <c r="I50" s="343" t="s">
        <v>332</v>
      </c>
      <c r="J50" s="395">
        <f>H40</f>
        <v>25</v>
      </c>
      <c r="R50" s="334"/>
    </row>
    <row r="51" spans="2:18" ht="16.5" customHeight="1" x14ac:dyDescent="0.25">
      <c r="B51" s="508" t="s">
        <v>149</v>
      </c>
      <c r="C51" s="509"/>
      <c r="D51" s="509"/>
      <c r="E51" s="509"/>
      <c r="F51" s="509"/>
      <c r="G51" s="509"/>
      <c r="H51" s="342" t="s">
        <v>148</v>
      </c>
      <c r="I51" s="343" t="s">
        <v>329</v>
      </c>
      <c r="J51" s="387">
        <f>H32/100</f>
        <v>0.9</v>
      </c>
      <c r="R51" s="334"/>
    </row>
    <row r="52" spans="2:18" ht="16.5" customHeight="1" thickBot="1" x14ac:dyDescent="0.3">
      <c r="B52" s="510" t="s">
        <v>285</v>
      </c>
      <c r="C52" s="511"/>
      <c r="D52" s="511"/>
      <c r="E52" s="511"/>
      <c r="F52" s="511"/>
      <c r="G52" s="511"/>
      <c r="H52" s="344" t="s">
        <v>286</v>
      </c>
      <c r="I52" s="345" t="s">
        <v>333</v>
      </c>
      <c r="J52" s="386">
        <f>IF(OR($H$38="",$H$38&lt;$L$47),$L$47,$H$38)</f>
        <v>30</v>
      </c>
      <c r="R52" s="334"/>
    </row>
    <row r="53" spans="2:18" ht="16.5" customHeight="1" thickBot="1" x14ac:dyDescent="0.25">
      <c r="B53" s="514"/>
      <c r="C53" s="514"/>
      <c r="D53" s="514"/>
      <c r="E53" s="514"/>
      <c r="F53" s="514"/>
      <c r="G53" s="514"/>
      <c r="H53" s="514"/>
      <c r="I53" s="514"/>
      <c r="J53" s="514"/>
      <c r="R53" s="334"/>
    </row>
    <row r="54" spans="2:18" ht="16.5" customHeight="1" x14ac:dyDescent="0.25">
      <c r="B54" s="519" t="s">
        <v>426</v>
      </c>
      <c r="C54" s="520"/>
      <c r="D54" s="520"/>
      <c r="E54" s="520"/>
      <c r="F54" s="520"/>
      <c r="G54" s="520"/>
      <c r="H54" s="520"/>
      <c r="I54" s="520"/>
      <c r="J54" s="537"/>
      <c r="R54" s="334"/>
    </row>
    <row r="55" spans="2:18" ht="16.5" customHeight="1" x14ac:dyDescent="0.25">
      <c r="B55" s="408"/>
      <c r="C55" s="409"/>
      <c r="D55" s="409"/>
      <c r="E55" s="409"/>
      <c r="F55" s="409"/>
      <c r="G55" s="409"/>
      <c r="H55" s="515" t="s">
        <v>146</v>
      </c>
      <c r="I55" s="515"/>
      <c r="J55" s="410" t="s">
        <v>154</v>
      </c>
      <c r="R55" s="334"/>
    </row>
    <row r="56" spans="2:18" ht="16.5" customHeight="1" x14ac:dyDescent="0.25">
      <c r="B56" s="512" t="s">
        <v>444</v>
      </c>
      <c r="C56" s="513"/>
      <c r="D56" s="513"/>
      <c r="E56" s="513"/>
      <c r="F56" s="513"/>
      <c r="G56" s="513"/>
      <c r="H56" s="500">
        <f>Sickerschacht_SIR!E60</f>
        <v>0</v>
      </c>
      <c r="I56" s="500">
        <f>VLOOKUP(MAX(M57:M59),M57:N59,2,FALSE)</f>
        <v>0</v>
      </c>
      <c r="J56" s="412">
        <f>Sickerschacht_SIR!G60</f>
        <v>0.16808599999999993</v>
      </c>
      <c r="K56" s="411"/>
      <c r="R56" s="334"/>
    </row>
    <row r="57" spans="2:18" ht="17.100000000000001" customHeight="1" x14ac:dyDescent="0.35">
      <c r="B57" s="497" t="s">
        <v>445</v>
      </c>
      <c r="C57" s="498"/>
      <c r="D57" s="498"/>
      <c r="E57" s="498"/>
      <c r="F57" s="498"/>
      <c r="G57" s="370" t="s">
        <v>446</v>
      </c>
      <c r="H57" s="546">
        <f>Sickerschacht_SIR!E61</f>
        <v>0</v>
      </c>
      <c r="I57" s="546">
        <f>H33*H29</f>
        <v>37.14</v>
      </c>
      <c r="J57" s="413">
        <f>Sickerschacht_SIR!G61</f>
        <v>-0.34</v>
      </c>
      <c r="M57" s="404">
        <f>Sickerschacht_SIR!E61</f>
        <v>0</v>
      </c>
      <c r="N57" s="401">
        <f>Sickerschacht_SIR!E60</f>
        <v>0</v>
      </c>
      <c r="O57" t="str">
        <f>Sickerschacht_SIR!E59</f>
        <v>Sickerschacht</v>
      </c>
      <c r="R57" s="334"/>
    </row>
    <row r="58" spans="2:18" ht="17.100000000000001" customHeight="1" x14ac:dyDescent="0.25">
      <c r="B58" s="497" t="s">
        <v>504</v>
      </c>
      <c r="C58" s="498"/>
      <c r="D58" s="498"/>
      <c r="E58" s="498"/>
      <c r="F58" s="498"/>
      <c r="G58" s="499"/>
      <c r="H58" s="500">
        <f>H33</f>
        <v>18.57</v>
      </c>
      <c r="I58" s="500"/>
      <c r="J58" s="412">
        <f>H33+H38*H39*(H40/100)</f>
        <v>22.32</v>
      </c>
      <c r="M58" s="404"/>
      <c r="N58" s="401"/>
      <c r="R58" s="334"/>
    </row>
    <row r="59" spans="2:18" ht="17.100000000000001" customHeight="1" thickBot="1" x14ac:dyDescent="0.4">
      <c r="B59" s="494" t="s">
        <v>447</v>
      </c>
      <c r="C59" s="495"/>
      <c r="D59" s="495"/>
      <c r="E59" s="495"/>
      <c r="F59" s="495"/>
      <c r="G59" s="414" t="s">
        <v>442</v>
      </c>
      <c r="H59" s="491">
        <f>H34/100</f>
        <v>2.7</v>
      </c>
      <c r="I59" s="492"/>
      <c r="J59" s="493"/>
      <c r="M59" s="404">
        <f>Sickerschacht_SIR!G61</f>
        <v>-0.34</v>
      </c>
      <c r="N59" s="401">
        <f>Sickerschacht_SIR!G60</f>
        <v>0.16808599999999993</v>
      </c>
      <c r="O59" t="str">
        <f>Sickerschacht_SIR!G59</f>
        <v>Sickeranlage</v>
      </c>
      <c r="R59" s="334"/>
    </row>
    <row r="60" spans="2:18" ht="17.100000000000001" customHeight="1" thickBot="1" x14ac:dyDescent="0.3">
      <c r="B60" s="541" t="str">
        <f>IF(M57&gt;M59,"Sickerschacht maßgebend", "Sickeranlage inklusive Schotterkörper maßgebend")</f>
        <v>Sickerschacht maßgebend</v>
      </c>
      <c r="C60" s="542"/>
      <c r="D60" s="542"/>
      <c r="E60" s="542"/>
      <c r="F60" s="542"/>
      <c r="G60" s="542"/>
      <c r="H60" s="542"/>
      <c r="I60" s="542"/>
      <c r="J60" s="543"/>
      <c r="M60" s="404"/>
      <c r="N60" s="401"/>
      <c r="R60" s="334"/>
    </row>
    <row r="61" spans="2:18" ht="17.100000000000001" customHeight="1" thickBot="1" x14ac:dyDescent="0.25">
      <c r="B61" s="538" t="str">
        <f>Sickerschacht_SIR!E63</f>
        <v>Stauhöhe OK.</v>
      </c>
      <c r="C61" s="539"/>
      <c r="D61" s="539"/>
      <c r="E61" s="539"/>
      <c r="F61" s="539"/>
      <c r="G61" s="539"/>
      <c r="H61" s="539"/>
      <c r="I61" s="539"/>
      <c r="J61" s="540"/>
      <c r="K61"/>
      <c r="Q61" s="334"/>
      <c r="R61" s="334"/>
    </row>
    <row r="62" spans="2:18" ht="17.100000000000001" customHeight="1" thickBot="1" x14ac:dyDescent="0.3">
      <c r="B62" s="544" t="str">
        <f>IF(H62&lt;=1,"erforderlicher Regenwassersickerschacht:","erforderliche Regenwassersickerschächte:")</f>
        <v>erforderliche Regenwassersickerschächte:</v>
      </c>
      <c r="C62" s="545"/>
      <c r="D62" s="545"/>
      <c r="E62" s="545"/>
      <c r="F62" s="545"/>
      <c r="G62" s="545"/>
      <c r="H62" s="438">
        <f>+H29</f>
        <v>2</v>
      </c>
      <c r="I62" s="439"/>
      <c r="J62" s="440" t="str">
        <f>+H28</f>
        <v>SW-SIR-30-18,60</v>
      </c>
      <c r="K62"/>
      <c r="Q62" s="334"/>
      <c r="R62" s="334"/>
    </row>
    <row r="63" spans="2:18" ht="17.100000000000001" customHeight="1" x14ac:dyDescent="0.25">
      <c r="D63" s="346"/>
      <c r="F63" s="347"/>
      <c r="G63" s="347"/>
      <c r="H63" s="347"/>
      <c r="I63" s="347"/>
      <c r="J63" s="347"/>
      <c r="K63"/>
      <c r="Q63" s="334"/>
      <c r="R63" s="334"/>
    </row>
    <row r="64" spans="2:18" ht="17.100000000000001" customHeight="1" x14ac:dyDescent="0.25">
      <c r="D64" s="346"/>
      <c r="F64" s="347"/>
      <c r="H64" s="348"/>
      <c r="I64" s="349"/>
      <c r="J64" s="350"/>
      <c r="K64"/>
      <c r="Q64" s="334"/>
      <c r="R64" s="334"/>
    </row>
    <row r="65" spans="2:18" ht="17.100000000000001" customHeight="1" x14ac:dyDescent="0.25">
      <c r="D65" s="346"/>
      <c r="F65" s="347"/>
      <c r="H65" s="351"/>
      <c r="I65" s="347"/>
      <c r="J65" s="352"/>
      <c r="K65"/>
      <c r="Q65" s="334"/>
      <c r="R65" s="334"/>
    </row>
    <row r="66" spans="2:18" ht="17.100000000000001" customHeight="1" x14ac:dyDescent="0.25">
      <c r="D66" s="346"/>
      <c r="F66" s="347"/>
      <c r="H66" s="351"/>
      <c r="I66" s="347"/>
      <c r="J66" s="352"/>
      <c r="K66"/>
      <c r="Q66" s="334"/>
      <c r="R66" s="334"/>
    </row>
    <row r="67" spans="2:18" ht="17.100000000000001" customHeight="1" x14ac:dyDescent="0.25">
      <c r="B67" s="536" t="s">
        <v>334</v>
      </c>
      <c r="C67" s="536"/>
      <c r="D67" s="536"/>
      <c r="F67" s="347"/>
      <c r="H67" s="353"/>
      <c r="I67" s="354"/>
      <c r="J67" s="355"/>
      <c r="K67"/>
      <c r="Q67" s="334"/>
      <c r="R67" s="334"/>
    </row>
    <row r="68" spans="2:18" ht="17.100000000000001" customHeight="1" x14ac:dyDescent="0.25">
      <c r="B68" s="536" t="s">
        <v>335</v>
      </c>
      <c r="C68" s="536"/>
      <c r="D68" s="536"/>
      <c r="F68" s="347"/>
      <c r="H68" s="347"/>
      <c r="I68" s="335" t="s">
        <v>336</v>
      </c>
      <c r="J68" s="347"/>
      <c r="K68"/>
      <c r="Q68" s="334"/>
      <c r="R68" s="334"/>
    </row>
    <row r="69" spans="2:18" ht="17.100000000000001" customHeight="1" x14ac:dyDescent="0.25">
      <c r="D69" s="346"/>
      <c r="F69" s="347"/>
      <c r="G69" s="347"/>
      <c r="H69" s="347"/>
      <c r="I69" s="347"/>
      <c r="J69" s="347"/>
      <c r="K69"/>
      <c r="Q69" s="334"/>
      <c r="R69" s="334"/>
    </row>
    <row r="70" spans="2:18" ht="17.100000000000001" hidden="1" customHeight="1" x14ac:dyDescent="0.25">
      <c r="C70" s="405" t="s">
        <v>498</v>
      </c>
      <c r="D70" s="405" t="s">
        <v>494</v>
      </c>
      <c r="E70" s="405" t="s">
        <v>496</v>
      </c>
      <c r="F70" s="405" t="s">
        <v>499</v>
      </c>
      <c r="G70" s="405"/>
      <c r="H70" s="405" t="s">
        <v>497</v>
      </c>
      <c r="I70" s="405" t="s">
        <v>500</v>
      </c>
      <c r="J70" s="347"/>
      <c r="K70"/>
      <c r="Q70" s="334"/>
      <c r="R70" s="334"/>
    </row>
    <row r="71" spans="2:18" ht="17.100000000000001" hidden="1" customHeight="1" x14ac:dyDescent="0.2">
      <c r="B71" s="381" t="s">
        <v>337</v>
      </c>
      <c r="C71" s="405">
        <v>0.78</v>
      </c>
      <c r="D71" s="405">
        <v>195</v>
      </c>
      <c r="E71" s="405">
        <v>95</v>
      </c>
      <c r="F71" s="405">
        <v>100</v>
      </c>
      <c r="G71" s="405"/>
      <c r="H71" s="405">
        <v>0.1</v>
      </c>
      <c r="I71" s="405">
        <f>D71-E71</f>
        <v>100</v>
      </c>
      <c r="J71"/>
      <c r="K71"/>
      <c r="Q71" s="334"/>
      <c r="R71" s="334"/>
    </row>
    <row r="72" spans="2:18" ht="17.100000000000001" hidden="1" customHeight="1" x14ac:dyDescent="0.2">
      <c r="B72" s="381" t="s">
        <v>338</v>
      </c>
      <c r="C72" s="405">
        <v>1.26</v>
      </c>
      <c r="D72" s="405">
        <v>255</v>
      </c>
      <c r="E72" s="405">
        <v>95</v>
      </c>
      <c r="F72" s="405">
        <v>100</v>
      </c>
      <c r="G72" s="405"/>
      <c r="H72" s="405">
        <v>0.1</v>
      </c>
      <c r="I72" s="405">
        <f t="shared" ref="I72:I109" si="0">D72-E72</f>
        <v>160</v>
      </c>
      <c r="J72"/>
      <c r="K72"/>
      <c r="Q72" s="334"/>
      <c r="R72" s="334"/>
    </row>
    <row r="73" spans="2:18" ht="17.100000000000001" hidden="1" customHeight="1" x14ac:dyDescent="0.2">
      <c r="B73" s="381" t="s">
        <v>339</v>
      </c>
      <c r="C73" s="405">
        <v>1.73</v>
      </c>
      <c r="D73" s="405">
        <v>315</v>
      </c>
      <c r="E73" s="405">
        <v>95</v>
      </c>
      <c r="F73" s="405">
        <v>100</v>
      </c>
      <c r="G73" s="405"/>
      <c r="H73" s="405">
        <v>0.1</v>
      </c>
      <c r="I73" s="405">
        <f t="shared" si="0"/>
        <v>220</v>
      </c>
      <c r="J73"/>
      <c r="K73"/>
      <c r="Q73" s="334"/>
      <c r="R73" s="334"/>
    </row>
    <row r="74" spans="2:18" ht="17.100000000000001" hidden="1" customHeight="1" x14ac:dyDescent="0.2">
      <c r="B74" s="381" t="s">
        <v>340</v>
      </c>
      <c r="C74" s="405">
        <v>2.69</v>
      </c>
      <c r="D74" s="405">
        <v>435</v>
      </c>
      <c r="E74" s="405">
        <v>95</v>
      </c>
      <c r="F74" s="405">
        <v>100</v>
      </c>
      <c r="G74" s="405"/>
      <c r="H74" s="405">
        <v>0.1</v>
      </c>
      <c r="I74" s="405">
        <f t="shared" si="0"/>
        <v>340</v>
      </c>
      <c r="J74"/>
      <c r="K74"/>
      <c r="Q74" s="334"/>
      <c r="R74" s="334"/>
    </row>
    <row r="75" spans="2:18" ht="17.100000000000001" hidden="1" customHeight="1" x14ac:dyDescent="0.2">
      <c r="B75" s="381" t="s">
        <v>341</v>
      </c>
      <c r="C75" s="405">
        <v>1.36</v>
      </c>
      <c r="D75" s="405">
        <v>165</v>
      </c>
      <c r="E75" s="405">
        <v>87</v>
      </c>
      <c r="F75" s="405">
        <v>150</v>
      </c>
      <c r="G75" s="405"/>
      <c r="H75" s="405">
        <v>0.1</v>
      </c>
      <c r="I75" s="405">
        <f t="shared" si="0"/>
        <v>78</v>
      </c>
      <c r="J75"/>
      <c r="K75"/>
      <c r="Q75" s="334"/>
      <c r="R75" s="334"/>
    </row>
    <row r="76" spans="2:18" ht="17.100000000000001" hidden="1" customHeight="1" x14ac:dyDescent="0.2">
      <c r="B76" s="381" t="s">
        <v>342</v>
      </c>
      <c r="C76" s="405">
        <v>1.8</v>
      </c>
      <c r="D76" s="405">
        <v>190</v>
      </c>
      <c r="E76" s="405">
        <v>87</v>
      </c>
      <c r="F76" s="405">
        <v>150</v>
      </c>
      <c r="G76" s="405"/>
      <c r="H76" s="405">
        <v>0.1</v>
      </c>
      <c r="I76" s="405">
        <f t="shared" si="0"/>
        <v>103</v>
      </c>
      <c r="J76"/>
      <c r="K76"/>
      <c r="Q76" s="334"/>
      <c r="R76" s="334"/>
    </row>
    <row r="77" spans="2:18" ht="17.100000000000001" hidden="1" customHeight="1" x14ac:dyDescent="0.2">
      <c r="B77" s="381" t="s">
        <v>343</v>
      </c>
      <c r="C77" s="405">
        <v>2.2400000000000002</v>
      </c>
      <c r="D77" s="405">
        <v>215</v>
      </c>
      <c r="E77" s="405">
        <v>87</v>
      </c>
      <c r="F77" s="405">
        <v>150</v>
      </c>
      <c r="G77" s="405"/>
      <c r="H77" s="405">
        <v>0.1</v>
      </c>
      <c r="I77" s="405">
        <f t="shared" si="0"/>
        <v>128</v>
      </c>
      <c r="J77"/>
      <c r="K77"/>
      <c r="Q77" s="334"/>
      <c r="R77" s="334"/>
    </row>
    <row r="78" spans="2:18" ht="17.100000000000001" hidden="1" customHeight="1" x14ac:dyDescent="0.2">
      <c r="B78" s="381" t="s">
        <v>344</v>
      </c>
      <c r="C78" s="405">
        <v>2.7</v>
      </c>
      <c r="D78" s="405">
        <v>240</v>
      </c>
      <c r="E78" s="405">
        <v>87</v>
      </c>
      <c r="F78" s="405">
        <v>150</v>
      </c>
      <c r="G78" s="405"/>
      <c r="H78" s="405">
        <v>0.1</v>
      </c>
      <c r="I78" s="405">
        <f t="shared" si="0"/>
        <v>153</v>
      </c>
      <c r="J78"/>
      <c r="K78"/>
      <c r="Q78" s="334"/>
      <c r="R78" s="334"/>
    </row>
    <row r="79" spans="2:18" ht="17.100000000000001" hidden="1" customHeight="1" x14ac:dyDescent="0.2">
      <c r="B79" s="381" t="s">
        <v>345</v>
      </c>
      <c r="C79" s="405">
        <v>3.14</v>
      </c>
      <c r="D79" s="405">
        <v>265</v>
      </c>
      <c r="E79" s="405">
        <v>87</v>
      </c>
      <c r="F79" s="405">
        <v>150</v>
      </c>
      <c r="G79" s="405"/>
      <c r="H79" s="405">
        <v>0.1</v>
      </c>
      <c r="I79" s="405">
        <f t="shared" si="0"/>
        <v>178</v>
      </c>
      <c r="J79"/>
      <c r="K79"/>
      <c r="Q79" s="334"/>
      <c r="R79" s="334"/>
    </row>
    <row r="80" spans="2:18" ht="17.100000000000001" hidden="1" customHeight="1" x14ac:dyDescent="0.2">
      <c r="B80" s="381" t="s">
        <v>346</v>
      </c>
      <c r="C80" s="405">
        <v>3.59</v>
      </c>
      <c r="D80" s="405">
        <v>290</v>
      </c>
      <c r="E80" s="405">
        <v>87</v>
      </c>
      <c r="F80" s="405">
        <v>150</v>
      </c>
      <c r="G80" s="405"/>
      <c r="H80" s="405">
        <v>0.1</v>
      </c>
      <c r="I80" s="405">
        <f t="shared" si="0"/>
        <v>203</v>
      </c>
      <c r="J80"/>
      <c r="K80"/>
      <c r="Q80" s="334"/>
      <c r="R80" s="334"/>
    </row>
    <row r="81" spans="2:18" ht="17.100000000000001" hidden="1" customHeight="1" x14ac:dyDescent="0.2">
      <c r="B81" s="381" t="s">
        <v>347</v>
      </c>
      <c r="C81" s="405">
        <v>4.04</v>
      </c>
      <c r="D81" s="405">
        <v>315</v>
      </c>
      <c r="E81" s="405">
        <v>87</v>
      </c>
      <c r="F81" s="405">
        <v>150</v>
      </c>
      <c r="G81" s="405"/>
      <c r="H81" s="405">
        <v>0.1</v>
      </c>
      <c r="I81" s="405">
        <f t="shared" si="0"/>
        <v>228</v>
      </c>
      <c r="J81"/>
      <c r="K81"/>
      <c r="Q81" s="334"/>
      <c r="R81" s="334"/>
    </row>
    <row r="82" spans="2:18" ht="17.100000000000001" hidden="1" customHeight="1" x14ac:dyDescent="0.2">
      <c r="B82" s="381" t="s">
        <v>348</v>
      </c>
      <c r="C82" s="405">
        <v>4.93</v>
      </c>
      <c r="D82" s="405">
        <v>365</v>
      </c>
      <c r="E82" s="405">
        <v>87</v>
      </c>
      <c r="F82" s="405">
        <v>150</v>
      </c>
      <c r="G82" s="405"/>
      <c r="H82" s="405">
        <v>0.1</v>
      </c>
      <c r="I82" s="405">
        <f t="shared" si="0"/>
        <v>278</v>
      </c>
      <c r="J82"/>
      <c r="K82"/>
      <c r="Q82" s="334"/>
      <c r="R82" s="334"/>
    </row>
    <row r="83" spans="2:18" ht="17.100000000000001" hidden="1" customHeight="1" x14ac:dyDescent="0.2">
      <c r="B83" s="381" t="s">
        <v>349</v>
      </c>
      <c r="C83" s="405">
        <v>2.38</v>
      </c>
      <c r="D83" s="405">
        <v>185</v>
      </c>
      <c r="E83" s="405">
        <v>108</v>
      </c>
      <c r="F83" s="405">
        <v>200</v>
      </c>
      <c r="G83" s="405"/>
      <c r="H83" s="405">
        <v>0.1</v>
      </c>
      <c r="I83" s="405">
        <f t="shared" si="0"/>
        <v>77</v>
      </c>
      <c r="J83"/>
      <c r="K83"/>
      <c r="Q83" s="334"/>
      <c r="R83" s="334"/>
    </row>
    <row r="84" spans="2:18" ht="17.100000000000001" hidden="1" customHeight="1" x14ac:dyDescent="0.2">
      <c r="B84" s="381" t="s">
        <v>350</v>
      </c>
      <c r="C84" s="405">
        <v>3.17</v>
      </c>
      <c r="D84" s="405">
        <v>210</v>
      </c>
      <c r="E84" s="405">
        <v>108</v>
      </c>
      <c r="F84" s="405">
        <v>200</v>
      </c>
      <c r="G84" s="405"/>
      <c r="H84" s="405">
        <v>0.1</v>
      </c>
      <c r="I84" s="405">
        <f t="shared" si="0"/>
        <v>102</v>
      </c>
      <c r="J84"/>
      <c r="K84"/>
      <c r="Q84" s="334"/>
      <c r="R84" s="334"/>
    </row>
    <row r="85" spans="2:18" ht="17.100000000000001" hidden="1" customHeight="1" x14ac:dyDescent="0.2">
      <c r="B85" s="381" t="s">
        <v>351</v>
      </c>
      <c r="C85" s="405">
        <v>3.95</v>
      </c>
      <c r="D85" s="405">
        <v>235</v>
      </c>
      <c r="E85" s="405">
        <v>108</v>
      </c>
      <c r="F85" s="405">
        <v>200</v>
      </c>
      <c r="G85" s="405"/>
      <c r="H85" s="405">
        <v>0.1</v>
      </c>
      <c r="I85" s="405">
        <f t="shared" si="0"/>
        <v>127</v>
      </c>
      <c r="J85"/>
      <c r="K85"/>
      <c r="Q85" s="334"/>
      <c r="R85" s="334"/>
    </row>
    <row r="86" spans="2:18" ht="17.100000000000001" hidden="1" customHeight="1" x14ac:dyDescent="0.2">
      <c r="B86" s="381" t="s">
        <v>352</v>
      </c>
      <c r="C86" s="405">
        <v>4.74</v>
      </c>
      <c r="D86" s="405">
        <v>260</v>
      </c>
      <c r="E86" s="405">
        <v>108</v>
      </c>
      <c r="F86" s="405">
        <v>200</v>
      </c>
      <c r="G86" s="405"/>
      <c r="H86" s="405">
        <v>0.1</v>
      </c>
      <c r="I86" s="405">
        <f t="shared" si="0"/>
        <v>152</v>
      </c>
      <c r="J86"/>
      <c r="K86"/>
      <c r="Q86" s="334"/>
      <c r="R86" s="334"/>
    </row>
    <row r="87" spans="2:18" ht="17.100000000000001" hidden="1" customHeight="1" x14ac:dyDescent="0.2">
      <c r="B87" s="381" t="s">
        <v>353</v>
      </c>
      <c r="C87" s="405">
        <v>5.56</v>
      </c>
      <c r="D87" s="405">
        <v>285</v>
      </c>
      <c r="E87" s="405">
        <v>108</v>
      </c>
      <c r="F87" s="405">
        <v>200</v>
      </c>
      <c r="G87" s="405"/>
      <c r="H87" s="405">
        <v>0.1</v>
      </c>
      <c r="I87" s="405">
        <f t="shared" si="0"/>
        <v>177</v>
      </c>
      <c r="J87"/>
      <c r="K87"/>
      <c r="Q87" s="334"/>
      <c r="R87" s="334"/>
    </row>
    <row r="88" spans="2:18" ht="17.100000000000001" hidden="1" customHeight="1" x14ac:dyDescent="0.2">
      <c r="B88" s="381" t="s">
        <v>354</v>
      </c>
      <c r="C88" s="405">
        <v>6.34</v>
      </c>
      <c r="D88" s="405">
        <v>310</v>
      </c>
      <c r="E88" s="405">
        <v>108</v>
      </c>
      <c r="F88" s="405">
        <v>200</v>
      </c>
      <c r="G88" s="405"/>
      <c r="H88" s="405">
        <v>0.1</v>
      </c>
      <c r="I88" s="405">
        <f t="shared" si="0"/>
        <v>202</v>
      </c>
      <c r="J88"/>
      <c r="K88"/>
      <c r="Q88" s="334"/>
      <c r="R88" s="334"/>
    </row>
    <row r="89" spans="2:18" ht="17.100000000000001" hidden="1" customHeight="1" x14ac:dyDescent="0.2">
      <c r="B89" s="381" t="s">
        <v>355</v>
      </c>
      <c r="C89" s="405">
        <v>7.13</v>
      </c>
      <c r="D89" s="405">
        <v>335</v>
      </c>
      <c r="E89" s="405">
        <v>108</v>
      </c>
      <c r="F89" s="405">
        <v>200</v>
      </c>
      <c r="G89" s="405"/>
      <c r="H89" s="405">
        <v>0.1</v>
      </c>
      <c r="I89" s="405">
        <f t="shared" si="0"/>
        <v>227</v>
      </c>
      <c r="J89"/>
      <c r="K89"/>
      <c r="Q89" s="334"/>
      <c r="R89" s="334"/>
    </row>
    <row r="90" spans="2:18" ht="17.100000000000001" hidden="1" customHeight="1" x14ac:dyDescent="0.2">
      <c r="B90" s="381" t="s">
        <v>356</v>
      </c>
      <c r="C90" s="405">
        <v>7.91</v>
      </c>
      <c r="D90" s="405">
        <v>360</v>
      </c>
      <c r="E90" s="405">
        <v>108</v>
      </c>
      <c r="F90" s="405">
        <v>200</v>
      </c>
      <c r="G90" s="405"/>
      <c r="H90" s="405">
        <v>0.1</v>
      </c>
      <c r="I90" s="405">
        <f t="shared" si="0"/>
        <v>252</v>
      </c>
      <c r="J90"/>
      <c r="K90"/>
      <c r="Q90" s="334"/>
      <c r="R90" s="334"/>
    </row>
    <row r="91" spans="2:18" ht="17.100000000000001" hidden="1" customHeight="1" x14ac:dyDescent="0.2">
      <c r="B91" s="381" t="s">
        <v>357</v>
      </c>
      <c r="C91" s="405">
        <v>8.73</v>
      </c>
      <c r="D91" s="405">
        <v>385</v>
      </c>
      <c r="E91" s="405">
        <v>108</v>
      </c>
      <c r="F91" s="405">
        <v>200</v>
      </c>
      <c r="G91" s="405"/>
      <c r="H91" s="405">
        <v>0.1</v>
      </c>
      <c r="I91" s="405">
        <f t="shared" si="0"/>
        <v>277</v>
      </c>
      <c r="J91"/>
      <c r="K91"/>
      <c r="Q91" s="334"/>
      <c r="R91" s="334"/>
    </row>
    <row r="92" spans="2:18" ht="17.100000000000001" hidden="1" customHeight="1" x14ac:dyDescent="0.2">
      <c r="B92" s="381" t="s">
        <v>358</v>
      </c>
      <c r="C92" s="405">
        <v>5.85</v>
      </c>
      <c r="D92" s="405">
        <v>210</v>
      </c>
      <c r="E92" s="405">
        <v>90</v>
      </c>
      <c r="F92" s="405">
        <v>250</v>
      </c>
      <c r="G92" s="405"/>
      <c r="H92" s="405">
        <v>0.1</v>
      </c>
      <c r="I92" s="405">
        <f t="shared" si="0"/>
        <v>120</v>
      </c>
      <c r="J92"/>
      <c r="K92"/>
      <c r="Q92" s="334"/>
      <c r="R92" s="334"/>
    </row>
    <row r="93" spans="2:18" ht="17.100000000000001" hidden="1" customHeight="1" x14ac:dyDescent="0.2">
      <c r="B93" s="381" t="s">
        <v>359</v>
      </c>
      <c r="C93" s="405">
        <v>7.08</v>
      </c>
      <c r="D93" s="405">
        <v>235</v>
      </c>
      <c r="E93" s="405">
        <v>90</v>
      </c>
      <c r="F93" s="405">
        <v>250</v>
      </c>
      <c r="G93" s="405"/>
      <c r="H93" s="405">
        <v>0.1</v>
      </c>
      <c r="I93" s="405">
        <f t="shared" si="0"/>
        <v>145</v>
      </c>
      <c r="J93"/>
      <c r="K93"/>
      <c r="R93" s="334"/>
    </row>
    <row r="94" spans="2:18" ht="17.100000000000001" hidden="1" customHeight="1" x14ac:dyDescent="0.2">
      <c r="B94" s="381" t="s">
        <v>360</v>
      </c>
      <c r="C94" s="405">
        <v>8.3000000000000007</v>
      </c>
      <c r="D94" s="405">
        <v>260</v>
      </c>
      <c r="E94" s="405">
        <v>90</v>
      </c>
      <c r="F94" s="405">
        <v>250</v>
      </c>
      <c r="G94" s="405"/>
      <c r="H94" s="405">
        <v>0.1</v>
      </c>
      <c r="I94" s="405">
        <f t="shared" si="0"/>
        <v>170</v>
      </c>
      <c r="J94"/>
      <c r="K94"/>
      <c r="R94" s="334"/>
    </row>
    <row r="95" spans="2:18" ht="17.100000000000001" hidden="1" customHeight="1" x14ac:dyDescent="0.2">
      <c r="B95" s="381" t="s">
        <v>361</v>
      </c>
      <c r="C95" s="405">
        <v>9.5299999999999994</v>
      </c>
      <c r="D95" s="405">
        <v>285</v>
      </c>
      <c r="E95" s="405">
        <v>90</v>
      </c>
      <c r="F95" s="405">
        <v>250</v>
      </c>
      <c r="G95" s="405"/>
      <c r="H95" s="405">
        <v>0.1</v>
      </c>
      <c r="I95" s="405">
        <f t="shared" si="0"/>
        <v>195</v>
      </c>
      <c r="J95"/>
      <c r="K95"/>
      <c r="R95" s="334"/>
    </row>
    <row r="96" spans="2:18" ht="17.100000000000001" hidden="1" customHeight="1" x14ac:dyDescent="0.2">
      <c r="B96" s="381" t="s">
        <v>362</v>
      </c>
      <c r="C96" s="405">
        <v>10.76</v>
      </c>
      <c r="D96" s="405">
        <v>310</v>
      </c>
      <c r="E96" s="405">
        <v>90</v>
      </c>
      <c r="F96" s="405">
        <v>250</v>
      </c>
      <c r="G96" s="405"/>
      <c r="H96" s="405">
        <v>0.1</v>
      </c>
      <c r="I96" s="405">
        <f t="shared" si="0"/>
        <v>220</v>
      </c>
      <c r="J96"/>
      <c r="K96"/>
      <c r="R96" s="334"/>
    </row>
    <row r="97" spans="2:18" ht="17.100000000000001" hidden="1" customHeight="1" x14ac:dyDescent="0.2">
      <c r="B97" s="381" t="s">
        <v>363</v>
      </c>
      <c r="C97" s="405">
        <v>12.03</v>
      </c>
      <c r="D97" s="405">
        <v>335</v>
      </c>
      <c r="E97" s="405">
        <v>90</v>
      </c>
      <c r="F97" s="405">
        <v>250</v>
      </c>
      <c r="G97" s="405"/>
      <c r="H97" s="405">
        <v>0.1</v>
      </c>
      <c r="I97" s="405">
        <f t="shared" si="0"/>
        <v>245</v>
      </c>
      <c r="J97"/>
      <c r="K97"/>
      <c r="R97" s="334"/>
    </row>
    <row r="98" spans="2:18" ht="17.100000000000001" hidden="1" customHeight="1" x14ac:dyDescent="0.2">
      <c r="B98" s="381" t="s">
        <v>364</v>
      </c>
      <c r="C98" s="405">
        <v>13.26</v>
      </c>
      <c r="D98" s="405">
        <v>360</v>
      </c>
      <c r="E98" s="405">
        <v>90</v>
      </c>
      <c r="F98" s="405">
        <v>250</v>
      </c>
      <c r="G98" s="405"/>
      <c r="H98" s="405">
        <v>0.1</v>
      </c>
      <c r="I98" s="405">
        <f t="shared" si="0"/>
        <v>270</v>
      </c>
      <c r="J98"/>
      <c r="K98"/>
      <c r="R98" s="334"/>
    </row>
    <row r="99" spans="2:18" ht="17.100000000000001" hidden="1" customHeight="1" x14ac:dyDescent="0.2">
      <c r="B99" s="381" t="s">
        <v>365</v>
      </c>
      <c r="C99" s="405">
        <v>14.48</v>
      </c>
      <c r="D99" s="405">
        <v>385</v>
      </c>
      <c r="E99" s="405">
        <v>90</v>
      </c>
      <c r="F99" s="405">
        <v>250</v>
      </c>
      <c r="G99" s="405"/>
      <c r="H99" s="405">
        <v>0.1</v>
      </c>
      <c r="I99" s="405">
        <f t="shared" si="0"/>
        <v>295</v>
      </c>
      <c r="J99"/>
      <c r="K99"/>
      <c r="R99" s="334"/>
    </row>
    <row r="100" spans="2:18" ht="17.100000000000001" hidden="1" customHeight="1" x14ac:dyDescent="0.2">
      <c r="B100" s="381" t="s">
        <v>366</v>
      </c>
      <c r="C100" s="405">
        <v>15.71</v>
      </c>
      <c r="D100" s="405">
        <v>410</v>
      </c>
      <c r="E100" s="405">
        <v>90</v>
      </c>
      <c r="F100" s="405">
        <v>250</v>
      </c>
      <c r="G100" s="405"/>
      <c r="H100" s="405">
        <v>0.1</v>
      </c>
      <c r="I100" s="405">
        <f t="shared" si="0"/>
        <v>320</v>
      </c>
      <c r="J100"/>
    </row>
    <row r="101" spans="2:18" ht="17.100000000000001" hidden="1" customHeight="1" x14ac:dyDescent="0.2">
      <c r="B101" s="381" t="s">
        <v>367</v>
      </c>
      <c r="C101" s="405">
        <v>16.989999999999998</v>
      </c>
      <c r="D101" s="405">
        <v>435</v>
      </c>
      <c r="E101" s="405">
        <v>90</v>
      </c>
      <c r="F101" s="405">
        <v>250</v>
      </c>
      <c r="G101" s="405"/>
      <c r="H101" s="405">
        <v>0.1</v>
      </c>
      <c r="I101" s="405">
        <f t="shared" si="0"/>
        <v>345</v>
      </c>
      <c r="J101"/>
    </row>
    <row r="102" spans="2:18" ht="17.100000000000001" hidden="1" customHeight="1" x14ac:dyDescent="0.2">
      <c r="B102" s="381" t="s">
        <v>368</v>
      </c>
      <c r="C102" s="405">
        <v>11.11</v>
      </c>
      <c r="D102" s="405">
        <v>260</v>
      </c>
      <c r="E102" s="405">
        <v>90</v>
      </c>
      <c r="F102" s="405">
        <v>300</v>
      </c>
      <c r="G102" s="405"/>
      <c r="H102" s="405">
        <v>0.1</v>
      </c>
      <c r="I102" s="405">
        <f t="shared" si="0"/>
        <v>170</v>
      </c>
      <c r="J102"/>
    </row>
    <row r="103" spans="2:18" ht="17.100000000000001" hidden="1" customHeight="1" x14ac:dyDescent="0.2">
      <c r="B103" s="381" t="s">
        <v>369</v>
      </c>
      <c r="C103" s="405">
        <v>13.2</v>
      </c>
      <c r="D103" s="405">
        <v>285</v>
      </c>
      <c r="E103" s="405">
        <v>90</v>
      </c>
      <c r="F103" s="405">
        <v>300</v>
      </c>
      <c r="G103" s="405"/>
      <c r="H103" s="405">
        <v>0.1</v>
      </c>
      <c r="I103" s="405">
        <f t="shared" si="0"/>
        <v>195</v>
      </c>
      <c r="J103"/>
    </row>
    <row r="104" spans="2:18" ht="17.100000000000001" hidden="1" customHeight="1" x14ac:dyDescent="0.2">
      <c r="B104" s="381" t="s">
        <v>370</v>
      </c>
      <c r="C104" s="405">
        <v>15.04</v>
      </c>
      <c r="D104" s="405">
        <v>310</v>
      </c>
      <c r="E104" s="405">
        <v>90</v>
      </c>
      <c r="F104" s="405">
        <v>300</v>
      </c>
      <c r="G104" s="405"/>
      <c r="H104" s="405">
        <v>0.1</v>
      </c>
      <c r="I104" s="405">
        <f t="shared" si="0"/>
        <v>220</v>
      </c>
      <c r="J104"/>
    </row>
    <row r="105" spans="2:18" ht="17.100000000000001" hidden="1" customHeight="1" x14ac:dyDescent="0.2">
      <c r="B105" s="381" t="s">
        <v>371</v>
      </c>
      <c r="C105" s="405">
        <v>16.809999999999999</v>
      </c>
      <c r="D105" s="405">
        <v>335</v>
      </c>
      <c r="E105" s="405">
        <v>90</v>
      </c>
      <c r="F105" s="405">
        <v>300</v>
      </c>
      <c r="G105" s="405"/>
      <c r="H105" s="405">
        <v>0.1</v>
      </c>
      <c r="I105" s="405">
        <f t="shared" si="0"/>
        <v>245</v>
      </c>
      <c r="J105"/>
    </row>
    <row r="106" spans="2:18" ht="17.100000000000001" hidden="1" customHeight="1" x14ac:dyDescent="0.2">
      <c r="B106" s="381" t="s">
        <v>372</v>
      </c>
      <c r="C106" s="405">
        <v>18.57</v>
      </c>
      <c r="D106" s="405">
        <v>360</v>
      </c>
      <c r="E106" s="405">
        <v>90</v>
      </c>
      <c r="F106" s="405">
        <v>300</v>
      </c>
      <c r="G106" s="405"/>
      <c r="H106" s="405">
        <v>0.1</v>
      </c>
      <c r="I106" s="405">
        <f t="shared" si="0"/>
        <v>270</v>
      </c>
      <c r="J106"/>
    </row>
    <row r="107" spans="2:18" ht="17.100000000000001" hidden="1" customHeight="1" x14ac:dyDescent="0.2">
      <c r="B107" s="381" t="s">
        <v>373</v>
      </c>
      <c r="C107" s="405">
        <v>20.34</v>
      </c>
      <c r="D107" s="405">
        <v>385</v>
      </c>
      <c r="E107" s="405">
        <v>90</v>
      </c>
      <c r="F107" s="405">
        <v>300</v>
      </c>
      <c r="G107" s="405"/>
      <c r="H107" s="405">
        <v>0.1</v>
      </c>
      <c r="I107" s="405">
        <f t="shared" si="0"/>
        <v>295</v>
      </c>
      <c r="J107"/>
    </row>
    <row r="108" spans="2:18" ht="17.100000000000001" hidden="1" customHeight="1" x14ac:dyDescent="0.2">
      <c r="B108" s="381" t="s">
        <v>374</v>
      </c>
      <c r="C108" s="405">
        <v>22.18</v>
      </c>
      <c r="D108" s="405">
        <v>410</v>
      </c>
      <c r="E108" s="405">
        <v>90</v>
      </c>
      <c r="F108" s="405">
        <v>300</v>
      </c>
      <c r="G108" s="405"/>
      <c r="H108" s="405">
        <v>0.1</v>
      </c>
      <c r="I108" s="405">
        <f t="shared" si="0"/>
        <v>320</v>
      </c>
      <c r="J108"/>
    </row>
    <row r="109" spans="2:18" ht="17.100000000000001" hidden="1" customHeight="1" x14ac:dyDescent="0.2">
      <c r="B109" s="381" t="s">
        <v>375</v>
      </c>
      <c r="C109" s="405">
        <v>25.78</v>
      </c>
      <c r="D109" s="405">
        <v>460</v>
      </c>
      <c r="E109" s="405">
        <v>90</v>
      </c>
      <c r="F109" s="405">
        <v>300</v>
      </c>
      <c r="G109" s="405"/>
      <c r="H109" s="405">
        <v>0.1</v>
      </c>
      <c r="I109" s="405">
        <f t="shared" si="0"/>
        <v>370</v>
      </c>
      <c r="J109"/>
    </row>
    <row r="110" spans="2:18" ht="17.100000000000001" customHeight="1" x14ac:dyDescent="0.25">
      <c r="B110" s="382"/>
      <c r="C110" s="383"/>
      <c r="D110" s="384"/>
      <c r="E110" s="384"/>
    </row>
  </sheetData>
  <mergeCells count="89">
    <mergeCell ref="B2:J5"/>
    <mergeCell ref="B1:J1"/>
    <mergeCell ref="B8:J8"/>
    <mergeCell ref="B16:J16"/>
    <mergeCell ref="B20:J20"/>
    <mergeCell ref="E9:F9"/>
    <mergeCell ref="G9:H9"/>
    <mergeCell ref="I9:J9"/>
    <mergeCell ref="B10:D10"/>
    <mergeCell ref="C7:J7"/>
    <mergeCell ref="B9:D9"/>
    <mergeCell ref="H32:J32"/>
    <mergeCell ref="B28:F28"/>
    <mergeCell ref="E10:F10"/>
    <mergeCell ref="G10:H10"/>
    <mergeCell ref="I10:J10"/>
    <mergeCell ref="B11:D11"/>
    <mergeCell ref="E11:F11"/>
    <mergeCell ref="G11:H11"/>
    <mergeCell ref="I11:J11"/>
    <mergeCell ref="B25:J25"/>
    <mergeCell ref="B17:J17"/>
    <mergeCell ref="I18:J18"/>
    <mergeCell ref="B13:D13"/>
    <mergeCell ref="E13:F13"/>
    <mergeCell ref="B31:F31"/>
    <mergeCell ref="B12:D12"/>
    <mergeCell ref="E12:F12"/>
    <mergeCell ref="G12:H12"/>
    <mergeCell ref="I12:J12"/>
    <mergeCell ref="I15:J15"/>
    <mergeCell ref="G13:H13"/>
    <mergeCell ref="I13:J13"/>
    <mergeCell ref="B14:D14"/>
    <mergeCell ref="E14:F14"/>
    <mergeCell ref="G14:H14"/>
    <mergeCell ref="I14:J14"/>
    <mergeCell ref="I19:J19"/>
    <mergeCell ref="H29:J29"/>
    <mergeCell ref="H31:J31"/>
    <mergeCell ref="B68:D68"/>
    <mergeCell ref="B54:J54"/>
    <mergeCell ref="B61:J61"/>
    <mergeCell ref="B67:D67"/>
    <mergeCell ref="B46:G46"/>
    <mergeCell ref="B47:G47"/>
    <mergeCell ref="B60:J60"/>
    <mergeCell ref="B48:G48"/>
    <mergeCell ref="B49:G49"/>
    <mergeCell ref="B50:G50"/>
    <mergeCell ref="B62:G62"/>
    <mergeCell ref="H57:I57"/>
    <mergeCell ref="B38:F38"/>
    <mergeCell ref="B32:F32"/>
    <mergeCell ref="B33:F33"/>
    <mergeCell ref="H28:J28"/>
    <mergeCell ref="B21:F21"/>
    <mergeCell ref="B22:J23"/>
    <mergeCell ref="H30:J30"/>
    <mergeCell ref="B29:F29"/>
    <mergeCell ref="H35:J35"/>
    <mergeCell ref="B24:I24"/>
    <mergeCell ref="B36:J36"/>
    <mergeCell ref="B34:F34"/>
    <mergeCell ref="H34:J34"/>
    <mergeCell ref="H38:J38"/>
    <mergeCell ref="H33:J33"/>
    <mergeCell ref="B30:F30"/>
    <mergeCell ref="B56:G56"/>
    <mergeCell ref="B53:J53"/>
    <mergeCell ref="B57:F57"/>
    <mergeCell ref="H55:I55"/>
    <mergeCell ref="H56:I56"/>
    <mergeCell ref="B39:F39"/>
    <mergeCell ref="H39:J39"/>
    <mergeCell ref="B35:F35"/>
    <mergeCell ref="H59:J59"/>
    <mergeCell ref="B59:F59"/>
    <mergeCell ref="B41:J41"/>
    <mergeCell ref="B58:G58"/>
    <mergeCell ref="H58:I58"/>
    <mergeCell ref="B42:J42"/>
    <mergeCell ref="H40:J40"/>
    <mergeCell ref="B43:G43"/>
    <mergeCell ref="B44:G44"/>
    <mergeCell ref="B45:G45"/>
    <mergeCell ref="B40:G40"/>
    <mergeCell ref="B51:G51"/>
    <mergeCell ref="B52:G52"/>
  </mergeCells>
  <conditionalFormatting sqref="B61">
    <cfRule type="containsText" dxfId="19" priority="1" stopIfTrue="1" operator="containsText" text="ACHTUNG! Gewählte Stauhöhe zu gering!">
      <formula>NOT(ISERROR(SEARCH("ACHTUNG! Gewählte Stauhöhe zu gering!",B61)))</formula>
    </cfRule>
    <cfRule type="containsText" dxfId="18" priority="2" stopIfTrue="1" operator="containsText" text="Stauhöhe OK.">
      <formula>NOT(ISERROR(SEARCH("Stauhöhe OK.",B61)))</formula>
    </cfRule>
  </conditionalFormatting>
  <dataValidations count="7">
    <dataValidation type="custom" allowBlank="1" showInputMessage="1" showErrorMessage="1" sqref="J50 H40" xr:uid="{00000000-0002-0000-0000-000000000000}">
      <formula1>AND(H40&gt;=15,H40&lt;=30)</formula1>
    </dataValidation>
    <dataValidation type="list" allowBlank="1" showInputMessage="1" showErrorMessage="1" sqref="J44" xr:uid="{00000000-0002-0000-0000-000001000000}">
      <formula1>$P$18:$P$20</formula1>
    </dataValidation>
    <dataValidation allowBlank="1" showInputMessage="1" showErrorMessage="1" promptTitle="Eingabe Stückzahl SIR" sqref="H39:J39" xr:uid="{00000000-0002-0000-0000-000002000000}"/>
    <dataValidation allowBlank="1" showInputMessage="1" showErrorMessage="1" promptTitle="Eingabe Bezeichnung Teilfläche" prompt="Bitte geben Sie die Bezeichnung der beregneten Teilfläche ein!" sqref="B10:D14" xr:uid="{00000000-0002-0000-0000-000003000000}"/>
    <dataValidation allowBlank="1" showInputMessage="1" showErrorMessage="1" prompt="Bitte geben Sie die Bezeichnung der beregneten Teilfläche ein!" sqref="B9:D9" xr:uid="{00000000-0002-0000-0000-000004000000}"/>
    <dataValidation type="decimal" allowBlank="1" showInputMessage="1" showErrorMessage="1" promptTitle="Eingabe der Größe der Teilfläche" prompt="Bitte geben Sie die Fläche der beregneten Teilfläche ein!" sqref="E10:F14" xr:uid="{00000000-0002-0000-0000-000005000000}">
      <formula1>0</formula1>
      <formula2>9999999999999990000</formula2>
    </dataValidation>
    <dataValidation type="list" allowBlank="1" showInputMessage="1" showErrorMessage="1" promptTitle="Eingabe Sickerschachtty" sqref="H28:J28" xr:uid="{00000000-0002-0000-0000-000006000000}">
      <formula1>$B$71:$B$109</formula1>
    </dataValidation>
  </dataValidations>
  <pageMargins left="0.7" right="0.7" top="0.78740157499999996" bottom="0.78740157499999996" header="0.3" footer="0.3"/>
  <pageSetup paperSize="9" orientation="portrait" verticalDpi="12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tabColor theme="9"/>
  </sheetPr>
  <dimension ref="A2:N48"/>
  <sheetViews>
    <sheetView showGridLines="0" zoomScale="85" zoomScaleNormal="85" workbookViewId="0">
      <selection activeCell="E50" sqref="E50"/>
    </sheetView>
  </sheetViews>
  <sheetFormatPr baseColWidth="10" defaultRowHeight="12.75" x14ac:dyDescent="0.2"/>
  <cols>
    <col min="1" max="2" width="10.42578125" customWidth="1"/>
    <col min="3" max="3" width="3.140625" customWidth="1"/>
    <col min="4" max="14" width="10.42578125" customWidth="1"/>
  </cols>
  <sheetData>
    <row r="2" spans="1:14" ht="13.5" thickBot="1" x14ac:dyDescent="0.25"/>
    <row r="3" spans="1:14" ht="13.5" thickBot="1" x14ac:dyDescent="0.25">
      <c r="A3" s="610" t="s">
        <v>122</v>
      </c>
      <c r="B3" s="611"/>
      <c r="C3" s="611"/>
      <c r="D3" s="611"/>
      <c r="E3" s="611"/>
      <c r="F3" s="611"/>
      <c r="G3" s="611"/>
      <c r="H3" s="611"/>
      <c r="I3" s="611"/>
      <c r="J3" s="611"/>
      <c r="K3" s="612"/>
    </row>
    <row r="4" spans="1:14" x14ac:dyDescent="0.2">
      <c r="A4" s="613" t="s">
        <v>121</v>
      </c>
      <c r="B4" s="614"/>
      <c r="C4" s="614"/>
      <c r="D4" s="614"/>
      <c r="E4" s="620" t="s">
        <v>182</v>
      </c>
      <c r="F4" s="621"/>
      <c r="G4" s="621"/>
      <c r="H4" s="621"/>
      <c r="I4" s="621"/>
      <c r="J4" s="621"/>
      <c r="K4" s="622"/>
    </row>
    <row r="5" spans="1:14" x14ac:dyDescent="0.2">
      <c r="A5" s="615" t="s">
        <v>119</v>
      </c>
      <c r="B5" s="616"/>
      <c r="C5" s="616"/>
      <c r="D5" s="617"/>
      <c r="E5" s="585" t="s">
        <v>271</v>
      </c>
      <c r="F5" s="586"/>
      <c r="G5" s="586"/>
      <c r="H5" s="586"/>
      <c r="I5" s="586"/>
      <c r="J5" s="586"/>
      <c r="K5" s="587"/>
    </row>
    <row r="6" spans="1:14" ht="13.5" thickBot="1" x14ac:dyDescent="0.25">
      <c r="A6" s="618" t="s">
        <v>120</v>
      </c>
      <c r="B6" s="619"/>
      <c r="C6" s="619"/>
      <c r="D6" s="619"/>
      <c r="E6" s="588" t="s">
        <v>182</v>
      </c>
      <c r="F6" s="589"/>
      <c r="G6" s="589"/>
      <c r="H6" s="589"/>
      <c r="I6" s="589"/>
      <c r="J6" s="589"/>
      <c r="K6" s="590"/>
      <c r="L6" s="23"/>
      <c r="M6" s="23"/>
    </row>
    <row r="7" spans="1:14" ht="13.5" thickBot="1" x14ac:dyDescent="0.25">
      <c r="A7" s="115"/>
      <c r="B7" s="112"/>
      <c r="C7" s="112"/>
      <c r="D7" s="112"/>
      <c r="E7" s="113"/>
      <c r="F7" s="114"/>
      <c r="G7" s="114"/>
      <c r="H7" s="114"/>
      <c r="I7" s="114"/>
      <c r="J7" s="114"/>
      <c r="K7" s="114"/>
      <c r="L7" s="23"/>
      <c r="M7" s="23"/>
      <c r="N7" s="22"/>
    </row>
    <row r="8" spans="1:14" ht="26.25" customHeight="1" thickBot="1" x14ac:dyDescent="0.25">
      <c r="A8" s="591" t="s">
        <v>64</v>
      </c>
      <c r="B8" s="592"/>
      <c r="C8" s="592"/>
      <c r="D8" s="592"/>
      <c r="E8" s="592"/>
      <c r="F8" s="592"/>
      <c r="G8" s="592"/>
      <c r="H8" s="592"/>
      <c r="I8" s="592"/>
      <c r="J8" s="592"/>
      <c r="K8" s="592"/>
      <c r="L8" s="592"/>
      <c r="M8" s="592"/>
      <c r="N8" s="593"/>
    </row>
    <row r="9" spans="1:14" ht="12.75" customHeight="1" x14ac:dyDescent="0.2">
      <c r="A9" s="599" t="s">
        <v>62</v>
      </c>
      <c r="B9" s="600"/>
      <c r="C9" s="600"/>
      <c r="D9" s="600"/>
      <c r="E9" s="600"/>
      <c r="F9" s="600"/>
      <c r="G9" s="600"/>
      <c r="H9" s="600"/>
      <c r="I9" s="600"/>
      <c r="J9" s="600"/>
      <c r="K9" s="600"/>
      <c r="L9" s="600"/>
      <c r="M9" s="600"/>
      <c r="N9" s="601"/>
    </row>
    <row r="10" spans="1:14" ht="33.75" customHeight="1" x14ac:dyDescent="0.2">
      <c r="A10" s="602" t="s">
        <v>269</v>
      </c>
      <c r="B10" s="603"/>
      <c r="C10" s="603"/>
      <c r="D10" s="603"/>
      <c r="E10" s="603"/>
      <c r="F10" s="603"/>
      <c r="G10" s="603"/>
      <c r="H10" s="603"/>
      <c r="I10" s="603"/>
      <c r="J10" s="603"/>
      <c r="K10" s="603"/>
      <c r="L10" s="603"/>
      <c r="M10" s="603"/>
      <c r="N10" s="604"/>
    </row>
    <row r="11" spans="1:14" ht="27" customHeight="1" x14ac:dyDescent="0.2">
      <c r="A11" s="605"/>
      <c r="B11" s="603"/>
      <c r="C11" s="603"/>
      <c r="D11" s="603"/>
      <c r="E11" s="603"/>
      <c r="F11" s="603"/>
      <c r="G11" s="603"/>
      <c r="H11" s="603"/>
      <c r="I11" s="603"/>
      <c r="J11" s="603"/>
      <c r="K11" s="603"/>
      <c r="L11" s="603"/>
      <c r="M11" s="603"/>
      <c r="N11" s="604"/>
    </row>
    <row r="12" spans="1:14" ht="18" customHeight="1" thickBot="1" x14ac:dyDescent="0.25">
      <c r="A12" s="606"/>
      <c r="B12" s="607"/>
      <c r="C12" s="607"/>
      <c r="D12" s="607"/>
      <c r="E12" s="607"/>
      <c r="F12" s="607"/>
      <c r="G12" s="607"/>
      <c r="H12" s="607"/>
      <c r="I12" s="607"/>
      <c r="J12" s="607"/>
      <c r="K12" s="607"/>
      <c r="L12" s="607"/>
      <c r="M12" s="607"/>
      <c r="N12" s="608"/>
    </row>
    <row r="13" spans="1:14" ht="18" customHeight="1" x14ac:dyDescent="0.2">
      <c r="A13" s="9"/>
      <c r="B13" s="9"/>
      <c r="C13" s="9"/>
      <c r="D13" s="9"/>
      <c r="E13" s="9"/>
      <c r="F13" s="9"/>
      <c r="G13" s="9"/>
      <c r="H13" s="9"/>
      <c r="I13" s="9"/>
      <c r="J13" s="9"/>
      <c r="K13" s="9"/>
      <c r="L13" s="9"/>
      <c r="M13" s="9"/>
      <c r="N13" s="9"/>
    </row>
    <row r="14" spans="1:14" x14ac:dyDescent="0.2">
      <c r="A14" s="21" t="s">
        <v>63</v>
      </c>
      <c r="B14" s="609" t="s">
        <v>262</v>
      </c>
      <c r="C14" s="609"/>
      <c r="D14" s="609"/>
    </row>
    <row r="17" spans="1:14" ht="13.5" thickBot="1" x14ac:dyDescent="0.25">
      <c r="A17" s="3"/>
      <c r="B17" s="3"/>
      <c r="C17" s="3"/>
      <c r="E17" s="21"/>
      <c r="F17" s="20"/>
      <c r="G17" s="20"/>
    </row>
    <row r="18" spans="1:14" ht="15" thickBot="1" x14ac:dyDescent="0.25">
      <c r="A18" s="597" t="s">
        <v>50</v>
      </c>
      <c r="B18" s="598"/>
      <c r="C18" s="482"/>
      <c r="D18" s="483">
        <v>5216</v>
      </c>
    </row>
    <row r="19" spans="1:14" ht="13.5" thickBot="1" x14ac:dyDescent="0.25"/>
    <row r="20" spans="1:14" x14ac:dyDescent="0.2">
      <c r="A20" s="26" t="s">
        <v>1</v>
      </c>
      <c r="B20" s="27" t="s">
        <v>2</v>
      </c>
      <c r="C20" s="277">
        <v>0</v>
      </c>
      <c r="D20" s="116">
        <v>1</v>
      </c>
      <c r="E20" s="116">
        <v>2</v>
      </c>
      <c r="F20" s="116">
        <v>3</v>
      </c>
      <c r="G20" s="116">
        <v>5</v>
      </c>
      <c r="H20" s="116">
        <v>10</v>
      </c>
      <c r="I20" s="116">
        <v>20</v>
      </c>
      <c r="J20" s="116">
        <v>25</v>
      </c>
      <c r="K20" s="116">
        <v>30</v>
      </c>
      <c r="L20" s="116">
        <v>50</v>
      </c>
      <c r="M20" s="116">
        <v>75</v>
      </c>
      <c r="N20" s="117">
        <v>100</v>
      </c>
    </row>
    <row r="21" spans="1:14" ht="14.25" x14ac:dyDescent="0.2">
      <c r="A21" s="241" t="s">
        <v>3</v>
      </c>
      <c r="B21" s="29">
        <v>5</v>
      </c>
      <c r="C21" s="278">
        <v>0</v>
      </c>
      <c r="D21" s="402">
        <v>6.7</v>
      </c>
      <c r="E21" s="402">
        <v>8.9</v>
      </c>
      <c r="F21" s="402">
        <v>10.199999999999999</v>
      </c>
      <c r="G21" s="402">
        <v>11.9</v>
      </c>
      <c r="H21" s="402">
        <v>14.1</v>
      </c>
      <c r="I21" s="402">
        <v>16.3</v>
      </c>
      <c r="J21" s="402">
        <v>17</v>
      </c>
      <c r="K21" s="402">
        <v>17.600000000000001</v>
      </c>
      <c r="L21" s="402">
        <v>19.2</v>
      </c>
      <c r="M21" s="402">
        <v>20.5</v>
      </c>
      <c r="N21" s="402">
        <v>21.4</v>
      </c>
    </row>
    <row r="22" spans="1:14" ht="14.25" x14ac:dyDescent="0.2">
      <c r="A22" s="28" t="s">
        <v>176</v>
      </c>
      <c r="B22" s="29">
        <v>10</v>
      </c>
      <c r="C22" s="278">
        <v>0</v>
      </c>
      <c r="D22" s="402">
        <v>8.4</v>
      </c>
      <c r="E22" s="402">
        <v>11.2</v>
      </c>
      <c r="F22" s="402">
        <v>12.9</v>
      </c>
      <c r="G22" s="402">
        <v>15</v>
      </c>
      <c r="H22" s="402">
        <v>17.7</v>
      </c>
      <c r="I22" s="402">
        <v>20.5</v>
      </c>
      <c r="J22" s="402">
        <v>21.3</v>
      </c>
      <c r="K22" s="402">
        <v>22.1</v>
      </c>
      <c r="L22" s="402">
        <v>24.1</v>
      </c>
      <c r="M22" s="402">
        <v>25.7</v>
      </c>
      <c r="N22" s="402">
        <v>26.9</v>
      </c>
    </row>
    <row r="23" spans="1:14" ht="14.25" x14ac:dyDescent="0.2">
      <c r="A23" s="28" t="s">
        <v>4</v>
      </c>
      <c r="B23" s="29">
        <v>15</v>
      </c>
      <c r="C23" s="278">
        <v>0</v>
      </c>
      <c r="D23" s="402">
        <v>9.6</v>
      </c>
      <c r="E23" s="402">
        <v>12.9</v>
      </c>
      <c r="F23" s="402">
        <v>14.9</v>
      </c>
      <c r="G23" s="402">
        <v>17.2</v>
      </c>
      <c r="H23" s="402">
        <v>20.5</v>
      </c>
      <c r="I23" s="402">
        <v>23.8</v>
      </c>
      <c r="J23" s="402">
        <v>24.8</v>
      </c>
      <c r="K23" s="402">
        <v>25.7</v>
      </c>
      <c r="L23" s="402">
        <v>28</v>
      </c>
      <c r="M23" s="402">
        <v>29.9</v>
      </c>
      <c r="N23" s="402">
        <v>31.3</v>
      </c>
    </row>
    <row r="24" spans="1:14" ht="14.25" x14ac:dyDescent="0.2">
      <c r="A24" s="28" t="s">
        <v>5</v>
      </c>
      <c r="B24" s="29">
        <v>20</v>
      </c>
      <c r="C24" s="278">
        <v>0</v>
      </c>
      <c r="D24" s="402">
        <v>10.6</v>
      </c>
      <c r="E24" s="402">
        <v>14.2</v>
      </c>
      <c r="F24" s="402">
        <v>16.3</v>
      </c>
      <c r="G24" s="402">
        <v>18.899999999999999</v>
      </c>
      <c r="H24" s="402">
        <v>22.5</v>
      </c>
      <c r="I24" s="402">
        <v>26.1</v>
      </c>
      <c r="J24" s="402">
        <v>27.2</v>
      </c>
      <c r="K24" s="402">
        <v>28.1</v>
      </c>
      <c r="L24" s="402">
        <v>30.7</v>
      </c>
      <c r="M24" s="402">
        <v>32.799999999999997</v>
      </c>
      <c r="N24" s="402">
        <v>34.299999999999997</v>
      </c>
    </row>
    <row r="25" spans="1:14" ht="14.25" x14ac:dyDescent="0.2">
      <c r="A25" s="28" t="s">
        <v>7</v>
      </c>
      <c r="B25" s="29">
        <v>30</v>
      </c>
      <c r="C25" s="278">
        <v>0</v>
      </c>
      <c r="D25" s="402">
        <v>12.1</v>
      </c>
      <c r="E25" s="402">
        <v>16.2</v>
      </c>
      <c r="F25" s="402">
        <v>18.600000000000001</v>
      </c>
      <c r="G25" s="402">
        <v>21.6</v>
      </c>
      <c r="H25" s="402">
        <v>25.6</v>
      </c>
      <c r="I25" s="402">
        <v>29.7</v>
      </c>
      <c r="J25" s="402">
        <v>30.9</v>
      </c>
      <c r="K25" s="402">
        <v>32</v>
      </c>
      <c r="L25" s="402">
        <v>34.9</v>
      </c>
      <c r="M25" s="402">
        <v>37.299999999999997</v>
      </c>
      <c r="N25" s="402">
        <v>38.9</v>
      </c>
    </row>
    <row r="26" spans="1:14" ht="14.25" x14ac:dyDescent="0.2">
      <c r="A26" s="28" t="s">
        <v>6</v>
      </c>
      <c r="B26" s="29">
        <v>45</v>
      </c>
      <c r="C26" s="278">
        <v>0</v>
      </c>
      <c r="D26" s="402">
        <v>13.8</v>
      </c>
      <c r="E26" s="402">
        <v>18.399999999999999</v>
      </c>
      <c r="F26" s="402">
        <v>21.1</v>
      </c>
      <c r="G26" s="402">
        <v>24.5</v>
      </c>
      <c r="H26" s="402">
        <v>28.8</v>
      </c>
      <c r="I26" s="402">
        <v>33.4</v>
      </c>
      <c r="J26" s="402">
        <v>34.799999999999997</v>
      </c>
      <c r="K26" s="402">
        <v>36.1</v>
      </c>
      <c r="L26" s="402">
        <v>39.299999999999997</v>
      </c>
      <c r="M26" s="402">
        <v>41.9</v>
      </c>
      <c r="N26" s="402">
        <v>43.7</v>
      </c>
    </row>
    <row r="27" spans="1:14" ht="14.25" x14ac:dyDescent="0.2">
      <c r="A27" s="28" t="s">
        <v>8</v>
      </c>
      <c r="B27" s="29">
        <v>60</v>
      </c>
      <c r="C27" s="278">
        <v>0</v>
      </c>
      <c r="D27" s="402">
        <v>15.2</v>
      </c>
      <c r="E27" s="402">
        <v>20.100000000000001</v>
      </c>
      <c r="F27" s="402">
        <v>23</v>
      </c>
      <c r="G27" s="402">
        <v>26.5</v>
      </c>
      <c r="H27" s="402">
        <v>31.3</v>
      </c>
      <c r="I27" s="402">
        <v>36.200000000000003</v>
      </c>
      <c r="J27" s="402">
        <v>37.700000000000003</v>
      </c>
      <c r="K27" s="402">
        <v>38.9</v>
      </c>
      <c r="L27" s="402">
        <v>42.4</v>
      </c>
      <c r="M27" s="402">
        <v>45.2</v>
      </c>
      <c r="N27" s="402">
        <v>47.1</v>
      </c>
    </row>
    <row r="28" spans="1:14" ht="14.25" x14ac:dyDescent="0.2">
      <c r="A28" s="28" t="s">
        <v>9</v>
      </c>
      <c r="B28" s="29">
        <v>90</v>
      </c>
      <c r="C28" s="278">
        <v>0</v>
      </c>
      <c r="D28" s="402">
        <v>17.3</v>
      </c>
      <c r="E28" s="402">
        <v>22.5</v>
      </c>
      <c r="F28" s="402">
        <v>25.6</v>
      </c>
      <c r="G28" s="402">
        <v>29.5</v>
      </c>
      <c r="H28" s="402">
        <v>34.700000000000003</v>
      </c>
      <c r="I28" s="402">
        <v>39.9</v>
      </c>
      <c r="J28" s="402">
        <v>41.7</v>
      </c>
      <c r="K28" s="402">
        <v>43.1</v>
      </c>
      <c r="L28" s="402">
        <v>46.9</v>
      </c>
      <c r="M28" s="402">
        <v>50</v>
      </c>
      <c r="N28" s="402">
        <v>52.1</v>
      </c>
    </row>
    <row r="29" spans="1:14" ht="14.25" x14ac:dyDescent="0.2">
      <c r="A29" s="28" t="s">
        <v>10</v>
      </c>
      <c r="B29" s="29">
        <v>120</v>
      </c>
      <c r="C29" s="278">
        <v>0</v>
      </c>
      <c r="D29" s="402">
        <v>19</v>
      </c>
      <c r="E29" s="402">
        <v>24.6</v>
      </c>
      <c r="F29" s="402">
        <v>27.9</v>
      </c>
      <c r="G29" s="402">
        <v>32</v>
      </c>
      <c r="H29" s="402">
        <v>37.700000000000003</v>
      </c>
      <c r="I29" s="402">
        <v>43.4</v>
      </c>
      <c r="J29" s="402">
        <v>45.1</v>
      </c>
      <c r="K29" s="402">
        <v>46.7</v>
      </c>
      <c r="L29" s="402">
        <v>50.8</v>
      </c>
      <c r="M29" s="402">
        <v>54.1</v>
      </c>
      <c r="N29" s="402">
        <v>56.5</v>
      </c>
    </row>
    <row r="30" spans="1:14" ht="14.25" x14ac:dyDescent="0.2">
      <c r="A30" s="28" t="s">
        <v>11</v>
      </c>
      <c r="B30" s="29">
        <v>180</v>
      </c>
      <c r="C30" s="278">
        <v>0</v>
      </c>
      <c r="D30" s="402">
        <v>21.7</v>
      </c>
      <c r="E30" s="402">
        <v>27.9</v>
      </c>
      <c r="F30" s="402">
        <v>31.6</v>
      </c>
      <c r="G30" s="402">
        <v>36.1</v>
      </c>
      <c r="H30" s="402">
        <v>42.3</v>
      </c>
      <c r="I30" s="402">
        <v>48.5</v>
      </c>
      <c r="J30" s="402">
        <v>50.5</v>
      </c>
      <c r="K30" s="402">
        <v>52.2</v>
      </c>
      <c r="L30" s="402">
        <v>56.8</v>
      </c>
      <c r="M30" s="402">
        <v>60.4</v>
      </c>
      <c r="N30" s="402">
        <v>63</v>
      </c>
    </row>
    <row r="31" spans="1:14" ht="14.25" x14ac:dyDescent="0.2">
      <c r="A31" s="28" t="s">
        <v>12</v>
      </c>
      <c r="B31" s="29">
        <v>240</v>
      </c>
      <c r="C31" s="278">
        <v>0</v>
      </c>
      <c r="D31" s="402">
        <v>23.9</v>
      </c>
      <c r="E31" s="402">
        <v>30.4</v>
      </c>
      <c r="F31" s="402">
        <v>34.299999999999997</v>
      </c>
      <c r="G31" s="402">
        <v>39.200000000000003</v>
      </c>
      <c r="H31" s="402">
        <v>45.8</v>
      </c>
      <c r="I31" s="402">
        <v>52.4</v>
      </c>
      <c r="J31" s="402">
        <v>54.5</v>
      </c>
      <c r="K31" s="402">
        <v>56.4</v>
      </c>
      <c r="L31" s="402">
        <v>61.3</v>
      </c>
      <c r="M31" s="402">
        <v>65.099999999999994</v>
      </c>
      <c r="N31" s="402">
        <v>67.900000000000006</v>
      </c>
    </row>
    <row r="32" spans="1:14" ht="14.25" x14ac:dyDescent="0.2">
      <c r="A32" s="28" t="s">
        <v>13</v>
      </c>
      <c r="B32" s="29">
        <v>360</v>
      </c>
      <c r="C32" s="278">
        <v>0</v>
      </c>
      <c r="D32" s="402">
        <v>28.2</v>
      </c>
      <c r="E32" s="402">
        <v>35.799999999999997</v>
      </c>
      <c r="F32" s="402">
        <v>40.1</v>
      </c>
      <c r="G32" s="402">
        <v>45.8</v>
      </c>
      <c r="H32" s="402">
        <v>53.3</v>
      </c>
      <c r="I32" s="402">
        <v>60.8</v>
      </c>
      <c r="J32" s="402">
        <v>63.2</v>
      </c>
      <c r="K32" s="402">
        <v>65.2</v>
      </c>
      <c r="L32" s="402">
        <v>70.8</v>
      </c>
      <c r="M32" s="402">
        <v>75.2</v>
      </c>
      <c r="N32" s="402">
        <v>78.3</v>
      </c>
    </row>
    <row r="33" spans="1:14" ht="14.25" x14ac:dyDescent="0.2">
      <c r="A33" s="28" t="s">
        <v>14</v>
      </c>
      <c r="B33" s="29">
        <v>540</v>
      </c>
      <c r="C33" s="278">
        <v>0</v>
      </c>
      <c r="D33" s="402">
        <v>33.1</v>
      </c>
      <c r="E33" s="402">
        <v>41.8</v>
      </c>
      <c r="F33" s="402">
        <v>46.9</v>
      </c>
      <c r="G33" s="402">
        <v>53.5</v>
      </c>
      <c r="H33" s="402">
        <v>62.2</v>
      </c>
      <c r="I33" s="402">
        <v>71</v>
      </c>
      <c r="J33" s="402">
        <v>73.900000000000006</v>
      </c>
      <c r="K33" s="402">
        <v>76</v>
      </c>
      <c r="L33" s="402">
        <v>82.6</v>
      </c>
      <c r="M33" s="402">
        <v>87.7</v>
      </c>
      <c r="N33" s="402">
        <v>91.5</v>
      </c>
    </row>
    <row r="34" spans="1:14" ht="14.25" x14ac:dyDescent="0.2">
      <c r="A34" s="28" t="s">
        <v>15</v>
      </c>
      <c r="B34" s="29">
        <v>720</v>
      </c>
      <c r="C34" s="278">
        <v>0</v>
      </c>
      <c r="D34" s="402">
        <v>36.9</v>
      </c>
      <c r="E34" s="402">
        <v>46.6</v>
      </c>
      <c r="F34" s="402">
        <v>52.2</v>
      </c>
      <c r="G34" s="402">
        <v>59.3</v>
      </c>
      <c r="H34" s="402">
        <v>69</v>
      </c>
      <c r="I34" s="402">
        <v>78.7</v>
      </c>
      <c r="J34" s="402">
        <v>81.8</v>
      </c>
      <c r="K34" s="402">
        <v>84.3</v>
      </c>
      <c r="L34" s="402">
        <v>91.4</v>
      </c>
      <c r="M34" s="402">
        <v>97</v>
      </c>
      <c r="N34" s="402">
        <v>101</v>
      </c>
    </row>
    <row r="35" spans="1:14" ht="14.25" x14ac:dyDescent="0.2">
      <c r="A35" s="28" t="s">
        <v>16</v>
      </c>
      <c r="B35" s="29">
        <v>1080</v>
      </c>
      <c r="C35" s="278">
        <v>0</v>
      </c>
      <c r="D35" s="402">
        <v>42.6</v>
      </c>
      <c r="E35" s="402">
        <v>53.6</v>
      </c>
      <c r="F35" s="402">
        <v>60</v>
      </c>
      <c r="G35" s="402">
        <v>67.900000000000006</v>
      </c>
      <c r="H35" s="402">
        <v>78.400000000000006</v>
      </c>
      <c r="I35" s="402">
        <v>88.9</v>
      </c>
      <c r="J35" s="402">
        <v>92.4</v>
      </c>
      <c r="K35" s="402">
        <v>95</v>
      </c>
      <c r="L35" s="402">
        <v>102.7</v>
      </c>
      <c r="M35" s="402">
        <v>109.3</v>
      </c>
      <c r="N35" s="402">
        <v>113.7</v>
      </c>
    </row>
    <row r="36" spans="1:14" ht="14.25" x14ac:dyDescent="0.2">
      <c r="A36" s="28" t="s">
        <v>17</v>
      </c>
      <c r="B36" s="29">
        <v>1440</v>
      </c>
      <c r="C36" s="278">
        <v>0</v>
      </c>
      <c r="D36" s="402">
        <v>44.6</v>
      </c>
      <c r="E36" s="402">
        <v>55.6</v>
      </c>
      <c r="F36" s="402">
        <v>62.1</v>
      </c>
      <c r="G36" s="402">
        <v>70.400000000000006</v>
      </c>
      <c r="H36" s="402">
        <v>81.599999999999994</v>
      </c>
      <c r="I36" s="402">
        <v>92.8</v>
      </c>
      <c r="J36" s="402">
        <v>96.5</v>
      </c>
      <c r="K36" s="402">
        <v>99.4</v>
      </c>
      <c r="L36" s="402">
        <v>107.8</v>
      </c>
      <c r="M36" s="402">
        <v>114.5</v>
      </c>
      <c r="N36" s="402">
        <v>119.2</v>
      </c>
    </row>
    <row r="37" spans="1:14" ht="14.25" x14ac:dyDescent="0.2">
      <c r="A37" s="28" t="s">
        <v>18</v>
      </c>
      <c r="B37" s="29">
        <v>2880</v>
      </c>
      <c r="C37" s="278">
        <v>0</v>
      </c>
      <c r="D37" s="402">
        <v>53.8</v>
      </c>
      <c r="E37" s="402">
        <v>66.7</v>
      </c>
      <c r="F37" s="402">
        <v>74.2</v>
      </c>
      <c r="G37" s="402">
        <v>83.6</v>
      </c>
      <c r="H37" s="402">
        <v>96.7</v>
      </c>
      <c r="I37" s="402">
        <v>109.7</v>
      </c>
      <c r="J37" s="402">
        <v>113.7</v>
      </c>
      <c r="K37" s="402">
        <v>117.2</v>
      </c>
      <c r="L37" s="402">
        <v>126.9</v>
      </c>
      <c r="M37" s="402">
        <v>134.19999999999999</v>
      </c>
      <c r="N37" s="402">
        <v>139.69999999999999</v>
      </c>
    </row>
    <row r="38" spans="1:14" ht="14.25" x14ac:dyDescent="0.2">
      <c r="A38" s="28" t="s">
        <v>19</v>
      </c>
      <c r="B38" s="29">
        <v>4320</v>
      </c>
      <c r="C38" s="278">
        <v>0</v>
      </c>
      <c r="D38" s="402">
        <v>60.2</v>
      </c>
      <c r="E38" s="402">
        <v>74</v>
      </c>
      <c r="F38" s="402">
        <v>82.3</v>
      </c>
      <c r="G38" s="402">
        <v>92.6</v>
      </c>
      <c r="H38" s="402">
        <v>106.4</v>
      </c>
      <c r="I38" s="402">
        <v>120.4</v>
      </c>
      <c r="J38" s="402">
        <v>125</v>
      </c>
      <c r="K38" s="402">
        <v>128.6</v>
      </c>
      <c r="L38" s="402">
        <v>138.80000000000001</v>
      </c>
      <c r="M38" s="402">
        <v>147.19999999999999</v>
      </c>
      <c r="N38" s="402">
        <v>152.80000000000001</v>
      </c>
    </row>
    <row r="39" spans="1:14" ht="14.25" x14ac:dyDescent="0.2">
      <c r="A39" s="28" t="s">
        <v>20</v>
      </c>
      <c r="B39" s="29">
        <v>5760</v>
      </c>
      <c r="C39" s="278">
        <v>0</v>
      </c>
      <c r="D39" s="402">
        <v>66.3</v>
      </c>
      <c r="E39" s="402">
        <v>79.7</v>
      </c>
      <c r="F39" s="402">
        <v>88.2</v>
      </c>
      <c r="G39" s="402">
        <v>99.1</v>
      </c>
      <c r="H39" s="402">
        <v>113.7</v>
      </c>
      <c r="I39" s="402">
        <v>128.4</v>
      </c>
      <c r="J39" s="402">
        <v>133.30000000000001</v>
      </c>
      <c r="K39" s="402">
        <v>137.1</v>
      </c>
      <c r="L39" s="402">
        <v>148</v>
      </c>
      <c r="M39" s="402">
        <v>156.4</v>
      </c>
      <c r="N39" s="402">
        <v>162.6</v>
      </c>
    </row>
    <row r="40" spans="1:14" ht="14.25" x14ac:dyDescent="0.2">
      <c r="A40" s="28" t="s">
        <v>21</v>
      </c>
      <c r="B40" s="29">
        <v>7200</v>
      </c>
      <c r="C40" s="278">
        <v>0</v>
      </c>
      <c r="D40" s="402">
        <v>71.3</v>
      </c>
      <c r="E40" s="402">
        <v>85.3</v>
      </c>
      <c r="F40" s="402">
        <v>93.7</v>
      </c>
      <c r="G40" s="402">
        <v>104.4</v>
      </c>
      <c r="H40" s="402">
        <v>119.6</v>
      </c>
      <c r="I40" s="402">
        <v>134.9</v>
      </c>
      <c r="J40" s="402">
        <v>140</v>
      </c>
      <c r="K40" s="402">
        <v>143.80000000000001</v>
      </c>
      <c r="L40" s="402">
        <v>155.19999999999999</v>
      </c>
      <c r="M40" s="402">
        <v>164.1</v>
      </c>
      <c r="N40" s="402">
        <v>170.4</v>
      </c>
    </row>
    <row r="41" spans="1:14" ht="15" thickBot="1" x14ac:dyDescent="0.25">
      <c r="A41" s="30" t="s">
        <v>22</v>
      </c>
      <c r="B41" s="31">
        <v>8640</v>
      </c>
      <c r="C41" s="279">
        <v>0</v>
      </c>
      <c r="D41" s="402">
        <v>76.2</v>
      </c>
      <c r="E41" s="402">
        <v>90.8</v>
      </c>
      <c r="F41" s="402">
        <v>99.3</v>
      </c>
      <c r="G41" s="402">
        <v>110.1</v>
      </c>
      <c r="H41" s="402">
        <v>124.7</v>
      </c>
      <c r="I41" s="402">
        <v>140.4</v>
      </c>
      <c r="J41" s="402">
        <v>145.30000000000001</v>
      </c>
      <c r="K41" s="402">
        <v>149.6</v>
      </c>
      <c r="L41" s="402">
        <v>161.1</v>
      </c>
      <c r="M41" s="402">
        <v>170.4</v>
      </c>
      <c r="N41" s="402">
        <v>177.1</v>
      </c>
    </row>
    <row r="42" spans="1:14" x14ac:dyDescent="0.2">
      <c r="D42" s="584"/>
      <c r="E42" s="584"/>
      <c r="F42" s="584"/>
      <c r="G42" s="584"/>
      <c r="H42" s="584"/>
      <c r="I42" s="584"/>
      <c r="J42" s="584"/>
      <c r="K42" s="584"/>
      <c r="L42" s="584"/>
      <c r="M42" s="584"/>
      <c r="N42" s="584"/>
    </row>
    <row r="43" spans="1:14" s="131" customFormat="1" ht="13.5" thickBot="1" x14ac:dyDescent="0.25">
      <c r="D43" s="132">
        <v>1</v>
      </c>
      <c r="E43" s="132">
        <v>2</v>
      </c>
      <c r="F43" s="132">
        <v>3</v>
      </c>
      <c r="G43" s="132">
        <v>5</v>
      </c>
      <c r="H43" s="132">
        <v>10</v>
      </c>
      <c r="I43" s="132">
        <v>20</v>
      </c>
      <c r="J43" s="132">
        <v>25</v>
      </c>
      <c r="K43" s="132">
        <v>30</v>
      </c>
      <c r="L43" s="132">
        <v>50</v>
      </c>
      <c r="M43" s="132">
        <v>75</v>
      </c>
      <c r="N43" s="132">
        <v>100</v>
      </c>
    </row>
    <row r="44" spans="1:14" ht="15" thickBot="1" x14ac:dyDescent="0.25">
      <c r="A44" s="594" t="s">
        <v>263</v>
      </c>
      <c r="B44" s="595"/>
      <c r="C44" s="596"/>
      <c r="D44" s="242">
        <v>0.5</v>
      </c>
      <c r="E44" s="242">
        <v>0.55000000000000004</v>
      </c>
      <c r="F44" s="242">
        <v>0.6</v>
      </c>
      <c r="G44" s="242">
        <v>0.7</v>
      </c>
      <c r="H44" s="242">
        <v>0.75</v>
      </c>
      <c r="I44" s="242">
        <v>0.8</v>
      </c>
      <c r="J44" s="242">
        <v>0.85</v>
      </c>
      <c r="K44" s="242">
        <v>0.9</v>
      </c>
      <c r="L44" s="242">
        <v>0.95</v>
      </c>
      <c r="M44" s="242">
        <v>1</v>
      </c>
      <c r="N44" s="243">
        <v>1</v>
      </c>
    </row>
    <row r="47" spans="1:14" x14ac:dyDescent="0.2">
      <c r="D47" s="584"/>
      <c r="E47" s="584"/>
      <c r="F47" s="584"/>
      <c r="G47" s="584"/>
      <c r="H47" s="584"/>
      <c r="I47" s="584"/>
      <c r="J47" s="584"/>
      <c r="K47" s="584"/>
      <c r="L47" s="584"/>
      <c r="M47" s="584"/>
      <c r="N47" s="584"/>
    </row>
    <row r="48" spans="1:14" x14ac:dyDescent="0.2">
      <c r="D48" s="484"/>
      <c r="E48" s="484"/>
      <c r="F48" s="484"/>
      <c r="G48" s="484"/>
      <c r="H48" s="484"/>
      <c r="I48" s="484"/>
      <c r="J48" s="484"/>
      <c r="K48" s="484"/>
      <c r="L48" s="484"/>
      <c r="M48" s="484"/>
    </row>
  </sheetData>
  <sheetProtection formatCells="0"/>
  <mergeCells count="15">
    <mergeCell ref="A3:K3"/>
    <mergeCell ref="A4:D4"/>
    <mergeCell ref="A5:D5"/>
    <mergeCell ref="A6:D6"/>
    <mergeCell ref="E4:K4"/>
    <mergeCell ref="D47:N47"/>
    <mergeCell ref="D42:N42"/>
    <mergeCell ref="E5:K5"/>
    <mergeCell ref="E6:K6"/>
    <mergeCell ref="A8:N8"/>
    <mergeCell ref="A44:C44"/>
    <mergeCell ref="A18:B18"/>
    <mergeCell ref="A9:N9"/>
    <mergeCell ref="A10:N12"/>
    <mergeCell ref="B14:D14"/>
  </mergeCells>
  <phoneticPr fontId="0" type="noConversion"/>
  <dataValidations count="10">
    <dataValidation type="decimal" operator="lessThanOrEqual" allowBlank="1" showInputMessage="1" showErrorMessage="1" sqref="D44" xr:uid="{00000000-0002-0000-0500-000000000000}">
      <formula1>0.5</formula1>
    </dataValidation>
    <dataValidation type="decimal" operator="lessThanOrEqual" allowBlank="1" showInputMessage="1" showErrorMessage="1" sqref="E44" xr:uid="{00000000-0002-0000-0500-000001000000}">
      <formula1>0.55</formula1>
    </dataValidation>
    <dataValidation type="decimal" operator="lessThanOrEqual" allowBlank="1" showInputMessage="1" showErrorMessage="1" sqref="F44" xr:uid="{00000000-0002-0000-0500-000002000000}">
      <formula1>0.6</formula1>
    </dataValidation>
    <dataValidation type="decimal" operator="lessThanOrEqual" allowBlank="1" showInputMessage="1" showErrorMessage="1" sqref="G44" xr:uid="{00000000-0002-0000-0500-000003000000}">
      <formula1>0.7</formula1>
    </dataValidation>
    <dataValidation type="decimal" operator="lessThanOrEqual" allowBlank="1" showInputMessage="1" showErrorMessage="1" sqref="H44" xr:uid="{00000000-0002-0000-0500-000004000000}">
      <formula1>0.75</formula1>
    </dataValidation>
    <dataValidation type="decimal" operator="lessThanOrEqual" allowBlank="1" showInputMessage="1" showErrorMessage="1" sqref="I44" xr:uid="{00000000-0002-0000-0500-000005000000}">
      <formula1>0.8</formula1>
    </dataValidation>
    <dataValidation type="decimal" operator="lessThanOrEqual" allowBlank="1" showInputMessage="1" showErrorMessage="1" sqref="J44" xr:uid="{00000000-0002-0000-0500-000006000000}">
      <formula1>0.85</formula1>
    </dataValidation>
    <dataValidation type="decimal" operator="lessThanOrEqual" allowBlank="1" showInputMessage="1" showErrorMessage="1" sqref="K44" xr:uid="{00000000-0002-0000-0500-000007000000}">
      <formula1>0.9</formula1>
    </dataValidation>
    <dataValidation type="decimal" operator="lessThanOrEqual" allowBlank="1" showInputMessage="1" showErrorMessage="1" sqref="L44" xr:uid="{00000000-0002-0000-0500-000008000000}">
      <formula1>0.95</formula1>
    </dataValidation>
    <dataValidation type="decimal" operator="lessThanOrEqual" allowBlank="1" showInputMessage="1" showErrorMessage="1" sqref="M44 N44" xr:uid="{00000000-0002-0000-0500-000009000000}">
      <formula1>1</formula1>
    </dataValidation>
  </dataValidations>
  <hyperlinks>
    <hyperlink ref="B14:D14" r:id="rId1" display="ehyd-Regendatenbank" xr:uid="{00000000-0004-0000-0500-000000000000}"/>
  </hyperlinks>
  <pageMargins left="0.25" right="0.25" top="0.75" bottom="0.75" header="0.3" footer="0.3"/>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9272" r:id="rId5" name="Button 8">
              <controlPr locked="0" defaultSize="0" print="0" autoFill="0" autoPict="0" macro="[0]!FormularOpen">
                <anchor moveWithCells="1" sizeWithCells="1">
                  <from>
                    <xdr:col>8</xdr:col>
                    <xdr:colOff>219075</xdr:colOff>
                    <xdr:row>13</xdr:row>
                    <xdr:rowOff>0</xdr:rowOff>
                  </from>
                  <to>
                    <xdr:col>12</xdr:col>
                    <xdr:colOff>247650</xdr:colOff>
                    <xdr:row>15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8">
    <tabColor rgb="FF00B050"/>
  </sheetPr>
  <dimension ref="B1:W115"/>
  <sheetViews>
    <sheetView workbookViewId="0">
      <selection activeCell="B10" sqref="B10:J12"/>
    </sheetView>
  </sheetViews>
  <sheetFormatPr baseColWidth="10" defaultRowHeight="17.100000000000001" customHeight="1" x14ac:dyDescent="0.2"/>
  <cols>
    <col min="1" max="1" width="4.85546875" style="334" customWidth="1"/>
    <col min="2" max="2" width="19.7109375" style="334" customWidth="1"/>
    <col min="3" max="3" width="14.140625" style="334" customWidth="1"/>
    <col min="4" max="4" width="16.7109375" style="335" customWidth="1"/>
    <col min="5" max="5" width="9.7109375" style="334" customWidth="1"/>
    <col min="6" max="6" width="10" style="334" customWidth="1"/>
    <col min="7" max="7" width="15.7109375" style="334" bestFit="1" customWidth="1"/>
    <col min="8" max="8" width="10.28515625" style="334" customWidth="1"/>
    <col min="9" max="9" width="11.7109375" style="334" customWidth="1"/>
    <col min="10" max="10" width="19.42578125" style="334" bestFit="1" customWidth="1"/>
    <col min="11" max="11" width="1.85546875" style="334" customWidth="1"/>
    <col min="12" max="15" width="11.42578125" hidden="1" customWidth="1"/>
    <col min="16" max="18" width="11.42578125" customWidth="1"/>
    <col min="19" max="16384" width="11.42578125" style="334"/>
  </cols>
  <sheetData>
    <row r="1" spans="2:10" ht="9.75" customHeight="1" thickBot="1" x14ac:dyDescent="0.25"/>
    <row r="2" spans="2:10" ht="17.100000000000001" customHeight="1" x14ac:dyDescent="0.2">
      <c r="B2" s="631" t="s">
        <v>318</v>
      </c>
      <c r="C2" s="632"/>
      <c r="D2" s="632"/>
      <c r="E2" s="632"/>
      <c r="F2" s="632"/>
      <c r="G2" s="632"/>
      <c r="H2" s="632"/>
      <c r="I2" s="389"/>
      <c r="J2" s="336"/>
    </row>
    <row r="3" spans="2:10" ht="17.100000000000001" customHeight="1" x14ac:dyDescent="0.2">
      <c r="B3" s="633"/>
      <c r="C3" s="634"/>
      <c r="D3" s="634"/>
      <c r="E3" s="634"/>
      <c r="F3" s="634"/>
      <c r="G3" s="634"/>
      <c r="H3" s="634"/>
      <c r="I3" s="390"/>
      <c r="J3" s="337"/>
    </row>
    <row r="4" spans="2:10" ht="17.100000000000001" customHeight="1" x14ac:dyDescent="0.2">
      <c r="B4" s="633"/>
      <c r="C4" s="634"/>
      <c r="D4" s="634"/>
      <c r="E4" s="634"/>
      <c r="F4" s="634"/>
      <c r="G4" s="634"/>
      <c r="H4" s="634"/>
      <c r="I4" s="390"/>
      <c r="J4" s="337"/>
    </row>
    <row r="5" spans="2:10" ht="17.100000000000001" customHeight="1" x14ac:dyDescent="0.2">
      <c r="B5" s="633"/>
      <c r="C5" s="634"/>
      <c r="D5" s="634"/>
      <c r="E5" s="634"/>
      <c r="F5" s="634"/>
      <c r="G5" s="634"/>
      <c r="H5" s="634"/>
      <c r="I5" s="390"/>
      <c r="J5" s="337"/>
    </row>
    <row r="6" spans="2:10" ht="17.100000000000001" customHeight="1" x14ac:dyDescent="0.25">
      <c r="B6" s="635" t="s">
        <v>454</v>
      </c>
      <c r="C6" s="636"/>
      <c r="D6" s="636"/>
      <c r="E6" s="636"/>
      <c r="F6" s="636"/>
      <c r="G6" s="636"/>
      <c r="H6" s="636"/>
      <c r="I6" s="347"/>
      <c r="J6" s="337"/>
    </row>
    <row r="7" spans="2:10" ht="17.100000000000001" customHeight="1" thickBot="1" x14ac:dyDescent="0.3">
      <c r="B7" s="637"/>
      <c r="C7" s="638"/>
      <c r="D7" s="638"/>
      <c r="E7" s="638"/>
      <c r="F7" s="638"/>
      <c r="G7" s="638"/>
      <c r="H7" s="638"/>
      <c r="I7" s="347"/>
      <c r="J7" s="338"/>
    </row>
    <row r="8" spans="2:10" ht="21.75" customHeight="1" thickBot="1" x14ac:dyDescent="0.3">
      <c r="B8" s="339" t="s">
        <v>319</v>
      </c>
      <c r="C8" s="579"/>
      <c r="D8" s="580"/>
      <c r="E8" s="580"/>
      <c r="F8" s="580"/>
      <c r="G8" s="580"/>
      <c r="H8" s="580"/>
      <c r="I8" s="580"/>
      <c r="J8" s="581"/>
    </row>
    <row r="9" spans="2:10" ht="15" customHeight="1" thickBot="1" x14ac:dyDescent="0.25">
      <c r="B9" s="572" t="s">
        <v>429</v>
      </c>
      <c r="C9" s="572"/>
      <c r="D9" s="572"/>
      <c r="E9" s="572"/>
      <c r="F9" s="572"/>
      <c r="G9" s="572"/>
      <c r="H9" s="572"/>
      <c r="I9" s="572"/>
      <c r="J9" s="572"/>
    </row>
    <row r="10" spans="2:10" ht="21.75" customHeight="1" x14ac:dyDescent="0.2">
      <c r="B10" s="639" t="s">
        <v>320</v>
      </c>
      <c r="C10" s="640"/>
      <c r="D10" s="640"/>
      <c r="E10" s="640"/>
      <c r="F10" s="640"/>
      <c r="G10" s="640"/>
      <c r="H10" s="640"/>
      <c r="I10" s="640"/>
      <c r="J10" s="641"/>
    </row>
    <row r="11" spans="2:10" ht="21.75" customHeight="1" x14ac:dyDescent="0.2">
      <c r="B11" s="642"/>
      <c r="C11" s="643"/>
      <c r="D11" s="643"/>
      <c r="E11" s="643"/>
      <c r="F11" s="643"/>
      <c r="G11" s="643"/>
      <c r="H11" s="643"/>
      <c r="I11" s="643"/>
      <c r="J11" s="644"/>
    </row>
    <row r="12" spans="2:10" ht="21.75" customHeight="1" thickBot="1" x14ac:dyDescent="0.25">
      <c r="B12" s="645"/>
      <c r="C12" s="646"/>
      <c r="D12" s="646"/>
      <c r="E12" s="646"/>
      <c r="F12" s="646"/>
      <c r="G12" s="646"/>
      <c r="H12" s="646"/>
      <c r="I12" s="646"/>
      <c r="J12" s="647"/>
    </row>
    <row r="13" spans="2:10" ht="17.100000000000001" customHeight="1" thickBot="1" x14ac:dyDescent="0.25">
      <c r="B13" s="363"/>
      <c r="C13" s="363"/>
      <c r="D13" s="363"/>
      <c r="E13" s="363"/>
      <c r="F13" s="363"/>
      <c r="G13" s="363"/>
      <c r="H13" s="363"/>
      <c r="I13" s="363"/>
      <c r="J13" s="363"/>
    </row>
    <row r="14" spans="2:10" ht="17.100000000000001" customHeight="1" x14ac:dyDescent="0.25">
      <c r="B14" s="623" t="s">
        <v>321</v>
      </c>
      <c r="C14" s="624"/>
      <c r="D14" s="625"/>
      <c r="E14" s="626" t="s">
        <v>322</v>
      </c>
      <c r="F14" s="625"/>
      <c r="G14" s="627" t="s">
        <v>411</v>
      </c>
      <c r="H14" s="628"/>
      <c r="I14" s="629" t="s">
        <v>323</v>
      </c>
      <c r="J14" s="630"/>
    </row>
    <row r="15" spans="2:10" ht="17.100000000000001" customHeight="1" x14ac:dyDescent="0.2">
      <c r="B15" s="648"/>
      <c r="C15" s="649"/>
      <c r="D15" s="649"/>
      <c r="E15" s="552">
        <v>2119</v>
      </c>
      <c r="F15" s="552"/>
      <c r="G15" s="553">
        <v>1</v>
      </c>
      <c r="H15" s="553"/>
      <c r="I15" s="650">
        <f>+E15*G15</f>
        <v>2119</v>
      </c>
      <c r="J15" s="651" t="s">
        <v>76</v>
      </c>
    </row>
    <row r="16" spans="2:10" ht="17.100000000000001" customHeight="1" x14ac:dyDescent="0.2">
      <c r="B16" s="549"/>
      <c r="C16" s="550"/>
      <c r="D16" s="551"/>
      <c r="E16" s="552"/>
      <c r="F16" s="552"/>
      <c r="G16" s="553"/>
      <c r="H16" s="553"/>
      <c r="I16" s="650">
        <f>+E16*G16</f>
        <v>0</v>
      </c>
      <c r="J16" s="651" t="s">
        <v>76</v>
      </c>
    </row>
    <row r="17" spans="2:10" ht="17.100000000000001" customHeight="1" x14ac:dyDescent="0.2">
      <c r="B17" s="549"/>
      <c r="C17" s="550"/>
      <c r="D17" s="551"/>
      <c r="E17" s="552"/>
      <c r="F17" s="552"/>
      <c r="G17" s="553"/>
      <c r="H17" s="553"/>
      <c r="I17" s="650">
        <f>+E17*G17</f>
        <v>0</v>
      </c>
      <c r="J17" s="651" t="s">
        <v>76</v>
      </c>
    </row>
    <row r="18" spans="2:10" ht="17.100000000000001" customHeight="1" x14ac:dyDescent="0.2">
      <c r="B18" s="549"/>
      <c r="C18" s="550"/>
      <c r="D18" s="551"/>
      <c r="E18" s="552"/>
      <c r="F18" s="552"/>
      <c r="G18" s="553"/>
      <c r="H18" s="553"/>
      <c r="I18" s="650">
        <f>+E18*G18</f>
        <v>0</v>
      </c>
      <c r="J18" s="651" t="s">
        <v>76</v>
      </c>
    </row>
    <row r="19" spans="2:10" ht="17.100000000000001" customHeight="1" x14ac:dyDescent="0.2">
      <c r="B19" s="549"/>
      <c r="C19" s="550"/>
      <c r="D19" s="551"/>
      <c r="E19" s="552"/>
      <c r="F19" s="552"/>
      <c r="G19" s="553"/>
      <c r="H19" s="553"/>
      <c r="I19" s="650">
        <f>+E19*G19</f>
        <v>0</v>
      </c>
      <c r="J19" s="651" t="s">
        <v>76</v>
      </c>
    </row>
    <row r="20" spans="2:10" ht="17.100000000000001" customHeight="1" thickBot="1" x14ac:dyDescent="0.25">
      <c r="B20" s="364" t="s">
        <v>324</v>
      </c>
      <c r="C20" s="365"/>
      <c r="D20" s="366"/>
      <c r="E20" s="357"/>
      <c r="F20" s="357"/>
      <c r="G20" s="357"/>
      <c r="H20" s="357"/>
      <c r="I20" s="652">
        <f>SUM(I15:I19)</f>
        <v>2119</v>
      </c>
      <c r="J20" s="653" t="s">
        <v>76</v>
      </c>
    </row>
    <row r="21" spans="2:10" ht="17.100000000000001" customHeight="1" thickBot="1" x14ac:dyDescent="0.25">
      <c r="B21" s="496"/>
      <c r="C21" s="496"/>
      <c r="D21" s="496"/>
      <c r="E21" s="496"/>
      <c r="F21" s="496"/>
      <c r="G21" s="496"/>
      <c r="H21" s="496"/>
      <c r="I21" s="496"/>
      <c r="J21" s="496"/>
    </row>
    <row r="22" spans="2:10" ht="17.100000000000001" customHeight="1" x14ac:dyDescent="0.25">
      <c r="B22" s="662" t="s">
        <v>412</v>
      </c>
      <c r="C22" s="663"/>
      <c r="D22" s="663"/>
      <c r="E22" s="663"/>
      <c r="F22" s="663"/>
      <c r="G22" s="663"/>
      <c r="H22" s="663"/>
      <c r="I22" s="663"/>
      <c r="J22" s="664"/>
    </row>
    <row r="23" spans="2:10" ht="17.100000000000001" customHeight="1" x14ac:dyDescent="0.25">
      <c r="B23" s="497" t="s">
        <v>413</v>
      </c>
      <c r="C23" s="498"/>
      <c r="D23" s="498"/>
      <c r="E23" s="498"/>
      <c r="F23" s="498"/>
      <c r="G23" s="498"/>
      <c r="H23" s="370" t="s">
        <v>414</v>
      </c>
      <c r="I23" s="564">
        <v>1E-4</v>
      </c>
      <c r="J23" s="565"/>
    </row>
    <row r="24" spans="2:10" ht="17.100000000000001" customHeight="1" thickBot="1" x14ac:dyDescent="0.3">
      <c r="B24" s="654" t="s">
        <v>415</v>
      </c>
      <c r="C24" s="655"/>
      <c r="D24" s="655"/>
      <c r="E24" s="655"/>
      <c r="F24" s="655"/>
      <c r="G24" s="655"/>
      <c r="H24" s="372" t="s">
        <v>416</v>
      </c>
      <c r="I24" s="558">
        <f>IF(I23="","",+$I$23*1000*60)</f>
        <v>6</v>
      </c>
      <c r="J24" s="559"/>
    </row>
    <row r="25" spans="2:10" ht="17.100000000000001" customHeight="1" thickBot="1" x14ac:dyDescent="0.25">
      <c r="B25" s="514"/>
      <c r="C25" s="514"/>
      <c r="D25" s="514"/>
      <c r="E25" s="514"/>
      <c r="F25" s="514"/>
      <c r="G25" s="514"/>
      <c r="H25" s="514"/>
      <c r="I25" s="514"/>
      <c r="J25" s="514"/>
    </row>
    <row r="26" spans="2:10" ht="17.100000000000001" customHeight="1" x14ac:dyDescent="0.25">
      <c r="B26" s="662" t="s">
        <v>438</v>
      </c>
      <c r="C26" s="663"/>
      <c r="D26" s="663"/>
      <c r="E26" s="663"/>
      <c r="F26" s="663"/>
      <c r="G26" s="450"/>
      <c r="H26" s="451"/>
      <c r="I26" s="451"/>
      <c r="J26" s="452">
        <f>'Bemessungsregendaten, kfu'!D18</f>
        <v>5216</v>
      </c>
    </row>
    <row r="27" spans="2:10" ht="17.100000000000001" customHeight="1" x14ac:dyDescent="0.2">
      <c r="B27" s="656" t="s">
        <v>436</v>
      </c>
      <c r="C27" s="657"/>
      <c r="D27" s="657"/>
      <c r="E27" s="657"/>
      <c r="F27" s="657"/>
      <c r="G27" s="657"/>
      <c r="H27" s="657"/>
      <c r="I27" s="657"/>
      <c r="J27" s="658"/>
    </row>
    <row r="28" spans="2:10" ht="17.100000000000001" customHeight="1" x14ac:dyDescent="0.2">
      <c r="B28" s="656"/>
      <c r="C28" s="657"/>
      <c r="D28" s="657"/>
      <c r="E28" s="657"/>
      <c r="F28" s="657"/>
      <c r="G28" s="657"/>
      <c r="H28" s="657"/>
      <c r="I28" s="657"/>
      <c r="J28" s="658"/>
    </row>
    <row r="29" spans="2:10" ht="17.100000000000001" customHeight="1" thickBot="1" x14ac:dyDescent="0.3">
      <c r="B29" s="531" t="s">
        <v>437</v>
      </c>
      <c r="C29" s="532"/>
      <c r="D29" s="532"/>
      <c r="E29" s="532"/>
      <c r="F29" s="532"/>
      <c r="G29" s="532"/>
      <c r="H29" s="532"/>
      <c r="I29" s="532"/>
      <c r="J29" s="400">
        <v>5</v>
      </c>
    </row>
    <row r="30" spans="2:10" ht="17.100000000000001" customHeight="1" thickBot="1" x14ac:dyDescent="0.25">
      <c r="B30" s="562"/>
      <c r="C30" s="562"/>
      <c r="D30" s="562"/>
      <c r="E30" s="562"/>
      <c r="F30" s="562"/>
      <c r="G30" s="562"/>
      <c r="H30" s="562"/>
      <c r="I30" s="562"/>
      <c r="J30" s="562"/>
    </row>
    <row r="31" spans="2:10" ht="17.100000000000001" customHeight="1" x14ac:dyDescent="0.25">
      <c r="B31" s="453" t="s">
        <v>427</v>
      </c>
      <c r="C31" s="451"/>
      <c r="D31" s="451"/>
      <c r="E31" s="451"/>
      <c r="F31" s="451"/>
      <c r="G31" s="451"/>
      <c r="H31" s="451"/>
      <c r="I31" s="451"/>
      <c r="J31" s="454"/>
    </row>
    <row r="32" spans="2:10" ht="17.100000000000001" customHeight="1" x14ac:dyDescent="0.2">
      <c r="B32" s="376" t="s">
        <v>432</v>
      </c>
      <c r="C32" s="377"/>
      <c r="D32" s="377"/>
      <c r="E32" s="377"/>
      <c r="F32" s="377"/>
      <c r="G32" s="378"/>
      <c r="H32" s="378"/>
      <c r="I32" s="378"/>
      <c r="J32" s="379"/>
    </row>
    <row r="33" spans="2:18" ht="17.100000000000001" customHeight="1" x14ac:dyDescent="0.25">
      <c r="B33" s="516" t="s">
        <v>417</v>
      </c>
      <c r="C33" s="486"/>
      <c r="D33" s="486"/>
      <c r="E33" s="486"/>
      <c r="F33" s="486"/>
      <c r="G33" s="403"/>
      <c r="H33" s="517" t="s">
        <v>481</v>
      </c>
      <c r="I33" s="517"/>
      <c r="J33" s="518"/>
    </row>
    <row r="34" spans="2:18" ht="17.100000000000001" customHeight="1" x14ac:dyDescent="0.25">
      <c r="B34" s="516" t="s">
        <v>418</v>
      </c>
      <c r="C34" s="486"/>
      <c r="D34" s="486"/>
      <c r="E34" s="486"/>
      <c r="F34" s="486"/>
      <c r="G34" s="403"/>
      <c r="H34" s="560">
        <v>2</v>
      </c>
      <c r="I34" s="560"/>
      <c r="J34" s="561"/>
      <c r="L34" s="21"/>
    </row>
    <row r="35" spans="2:18" ht="17.100000000000001" customHeight="1" x14ac:dyDescent="0.2">
      <c r="B35" s="516" t="s">
        <v>419</v>
      </c>
      <c r="C35" s="486"/>
      <c r="D35" s="486"/>
      <c r="E35" s="486"/>
      <c r="F35" s="486"/>
      <c r="G35" s="470" t="s">
        <v>420</v>
      </c>
      <c r="H35" s="527">
        <f>VLOOKUP($H$33,$B$77:$H$111,5,FALSE)</f>
        <v>250</v>
      </c>
      <c r="I35" s="527"/>
      <c r="J35" s="528"/>
    </row>
    <row r="36" spans="2:18" ht="17.100000000000001" customHeight="1" x14ac:dyDescent="0.2">
      <c r="B36" s="516" t="s">
        <v>421</v>
      </c>
      <c r="C36" s="486"/>
      <c r="D36" s="486"/>
      <c r="E36" s="486"/>
      <c r="F36" s="486"/>
      <c r="G36" s="470" t="s">
        <v>422</v>
      </c>
      <c r="H36" s="527">
        <f>VLOOKUP($H$33,$B$77:$H$111,3,FALSE)</f>
        <v>360</v>
      </c>
      <c r="I36" s="527"/>
      <c r="J36" s="528"/>
    </row>
    <row r="37" spans="2:18" ht="17.100000000000001" customHeight="1" x14ac:dyDescent="0.2">
      <c r="B37" s="516" t="s">
        <v>423</v>
      </c>
      <c r="C37" s="486"/>
      <c r="D37" s="486"/>
      <c r="E37" s="486"/>
      <c r="F37" s="486"/>
      <c r="G37" s="470" t="s">
        <v>424</v>
      </c>
      <c r="H37" s="527">
        <f>VLOOKUP($H$33,$B$77:$H$111,4,FALSE)</f>
        <v>90</v>
      </c>
      <c r="I37" s="527"/>
      <c r="J37" s="528"/>
    </row>
    <row r="38" spans="2:18" ht="17.100000000000001" customHeight="1" x14ac:dyDescent="0.35">
      <c r="B38" s="516" t="s">
        <v>439</v>
      </c>
      <c r="C38" s="486"/>
      <c r="D38" s="486"/>
      <c r="E38" s="486"/>
      <c r="F38" s="486"/>
      <c r="G38" s="471" t="s">
        <v>430</v>
      </c>
      <c r="H38" s="547">
        <f>VLOOKUP($H$33,$B$77:$H$111,2,FALSE)</f>
        <v>11.74</v>
      </c>
      <c r="I38" s="547"/>
      <c r="J38" s="548"/>
    </row>
    <row r="39" spans="2:18" ht="17.100000000000001" customHeight="1" x14ac:dyDescent="0.35">
      <c r="B39" s="516" t="s">
        <v>440</v>
      </c>
      <c r="C39" s="486"/>
      <c r="D39" s="486"/>
      <c r="E39" s="486"/>
      <c r="F39" s="486"/>
      <c r="G39" s="471" t="s">
        <v>443</v>
      </c>
      <c r="H39" s="527">
        <f>VLOOKUP($H$33,$B$77:$I$111,8,FALSE)</f>
        <v>237</v>
      </c>
      <c r="I39" s="527"/>
      <c r="J39" s="528"/>
    </row>
    <row r="40" spans="2:18" ht="33.950000000000003" customHeight="1" thickBot="1" x14ac:dyDescent="0.25">
      <c r="B40" s="489" t="s">
        <v>425</v>
      </c>
      <c r="C40" s="490"/>
      <c r="D40" s="490"/>
      <c r="E40" s="490"/>
      <c r="F40" s="490"/>
      <c r="G40" s="472" t="s">
        <v>431</v>
      </c>
      <c r="H40" s="529">
        <f>+I20/H34</f>
        <v>1059.5</v>
      </c>
      <c r="I40" s="529"/>
      <c r="J40" s="530"/>
    </row>
    <row r="41" spans="2:18" ht="17.100000000000001" customHeight="1" thickBot="1" x14ac:dyDescent="0.25">
      <c r="B41" s="533"/>
      <c r="C41" s="533"/>
      <c r="D41" s="533"/>
      <c r="E41" s="533"/>
      <c r="F41" s="533"/>
      <c r="G41" s="533"/>
      <c r="H41" s="533"/>
      <c r="I41" s="533"/>
      <c r="J41" s="533"/>
    </row>
    <row r="42" spans="2:18" ht="17.100000000000001" customHeight="1" x14ac:dyDescent="0.25">
      <c r="B42" s="453" t="s">
        <v>501</v>
      </c>
      <c r="C42" s="451"/>
      <c r="D42" s="451"/>
      <c r="E42" s="451"/>
      <c r="F42" s="451"/>
      <c r="G42" s="451"/>
      <c r="H42" s="451"/>
      <c r="I42" s="451"/>
      <c r="J42" s="454"/>
    </row>
    <row r="43" spans="2:18" ht="17.100000000000001" customHeight="1" x14ac:dyDescent="0.25">
      <c r="B43" s="485" t="s">
        <v>434</v>
      </c>
      <c r="C43" s="486"/>
      <c r="D43" s="486"/>
      <c r="E43" s="486"/>
      <c r="F43" s="486"/>
      <c r="G43" s="392" t="s">
        <v>433</v>
      </c>
      <c r="H43" s="534">
        <v>4</v>
      </c>
      <c r="I43" s="534"/>
      <c r="J43" s="535"/>
    </row>
    <row r="44" spans="2:18" ht="17.100000000000001" customHeight="1" x14ac:dyDescent="0.35">
      <c r="B44" s="485" t="s">
        <v>155</v>
      </c>
      <c r="C44" s="486"/>
      <c r="D44" s="486"/>
      <c r="E44" s="486"/>
      <c r="F44" s="486"/>
      <c r="G44" s="392" t="s">
        <v>435</v>
      </c>
      <c r="H44" s="487">
        <v>0.5</v>
      </c>
      <c r="I44" s="487"/>
      <c r="J44" s="488"/>
      <c r="M44" s="334"/>
      <c r="N44" s="334"/>
      <c r="O44" s="334"/>
      <c r="P44" s="334"/>
      <c r="Q44" s="334"/>
      <c r="R44" s="334"/>
    </row>
    <row r="45" spans="2:18" ht="17.100000000000001" customHeight="1" thickBot="1" x14ac:dyDescent="0.3">
      <c r="B45" s="510" t="s">
        <v>214</v>
      </c>
      <c r="C45" s="511"/>
      <c r="D45" s="511"/>
      <c r="E45" s="511"/>
      <c r="F45" s="511"/>
      <c r="G45" s="511"/>
      <c r="H45" s="504">
        <v>25</v>
      </c>
      <c r="I45" s="504"/>
      <c r="J45" s="505"/>
      <c r="M45" s="334"/>
      <c r="N45" s="334"/>
      <c r="O45" s="334"/>
      <c r="P45" s="334"/>
      <c r="Q45" s="334"/>
      <c r="R45" s="334"/>
    </row>
    <row r="46" spans="2:18" ht="17.100000000000001" customHeight="1" thickBot="1" x14ac:dyDescent="0.25">
      <c r="B46" s="496"/>
      <c r="C46" s="496"/>
      <c r="D46" s="496"/>
      <c r="E46" s="496"/>
      <c r="F46" s="496"/>
      <c r="G46" s="496"/>
      <c r="H46" s="496"/>
      <c r="I46" s="496"/>
      <c r="J46" s="496"/>
      <c r="M46" s="334"/>
      <c r="N46" s="334"/>
      <c r="O46" s="334"/>
      <c r="P46" s="334"/>
      <c r="Q46" s="334"/>
      <c r="R46" s="334"/>
    </row>
    <row r="47" spans="2:18" ht="17.100000000000001" customHeight="1" thickBot="1" x14ac:dyDescent="0.3">
      <c r="B47" s="659" t="s">
        <v>325</v>
      </c>
      <c r="C47" s="660"/>
      <c r="D47" s="660"/>
      <c r="E47" s="660"/>
      <c r="F47" s="660"/>
      <c r="G47" s="660"/>
      <c r="H47" s="660"/>
      <c r="I47" s="660"/>
      <c r="J47" s="661"/>
      <c r="N47" s="334"/>
      <c r="O47" s="334"/>
      <c r="P47" s="334"/>
      <c r="Q47" s="334"/>
      <c r="R47" s="334"/>
    </row>
    <row r="48" spans="2:18" ht="17.100000000000001" customHeight="1" x14ac:dyDescent="0.2">
      <c r="B48" s="506" t="s">
        <v>503</v>
      </c>
      <c r="C48" s="507"/>
      <c r="D48" s="507"/>
      <c r="E48" s="507"/>
      <c r="F48" s="507"/>
      <c r="G48" s="507"/>
      <c r="H48" s="340" t="s">
        <v>115</v>
      </c>
      <c r="I48" s="341" t="s">
        <v>326</v>
      </c>
      <c r="J48" s="388">
        <f>0.003</f>
        <v>3.0000000000000001E-3</v>
      </c>
      <c r="N48" s="334"/>
      <c r="O48" s="334"/>
      <c r="P48" s="334"/>
      <c r="Q48" s="334"/>
      <c r="R48" s="334"/>
    </row>
    <row r="49" spans="2:18" ht="17.100000000000001" customHeight="1" x14ac:dyDescent="0.2">
      <c r="B49" s="508" t="s">
        <v>51</v>
      </c>
      <c r="C49" s="509"/>
      <c r="D49" s="509"/>
      <c r="E49" s="509"/>
      <c r="F49" s="509"/>
      <c r="G49" s="509"/>
      <c r="H49" s="342" t="s">
        <v>66</v>
      </c>
      <c r="I49" s="343" t="s">
        <v>327</v>
      </c>
      <c r="J49" s="396">
        <v>1</v>
      </c>
    </row>
    <row r="50" spans="2:18" ht="17.100000000000001" customHeight="1" x14ac:dyDescent="0.2">
      <c r="B50" s="508" t="s">
        <v>453</v>
      </c>
      <c r="C50" s="509"/>
      <c r="D50" s="509"/>
      <c r="E50" s="509"/>
      <c r="F50" s="509"/>
      <c r="G50" s="509"/>
      <c r="H50" s="342"/>
      <c r="I50" s="343" t="s">
        <v>329</v>
      </c>
      <c r="J50" s="445">
        <v>0.05</v>
      </c>
    </row>
    <row r="51" spans="2:18" ht="17.100000000000001" customHeight="1" x14ac:dyDescent="0.25">
      <c r="B51" s="508" t="s">
        <v>108</v>
      </c>
      <c r="C51" s="509"/>
      <c r="D51" s="509"/>
      <c r="E51" s="509"/>
      <c r="F51" s="509"/>
      <c r="G51" s="509"/>
      <c r="H51" s="342" t="s">
        <v>116</v>
      </c>
      <c r="I51" s="343" t="s">
        <v>326</v>
      </c>
      <c r="J51" s="398">
        <v>3.0000000000000001E-3</v>
      </c>
    </row>
    <row r="52" spans="2:18" ht="17.100000000000001" customHeight="1" x14ac:dyDescent="0.2">
      <c r="B52" s="508" t="s">
        <v>229</v>
      </c>
      <c r="C52" s="509"/>
      <c r="D52" s="509"/>
      <c r="E52" s="509"/>
      <c r="F52" s="509"/>
      <c r="G52" s="509"/>
      <c r="H52" s="342"/>
      <c r="I52" s="343" t="s">
        <v>327</v>
      </c>
      <c r="J52" s="399">
        <v>1</v>
      </c>
    </row>
    <row r="53" spans="2:18" ht="17.100000000000001" customHeight="1" x14ac:dyDescent="0.25">
      <c r="B53" s="508" t="s">
        <v>330</v>
      </c>
      <c r="C53" s="509"/>
      <c r="D53" s="509"/>
      <c r="E53" s="509"/>
      <c r="F53" s="509"/>
      <c r="G53" s="509"/>
      <c r="H53" s="342" t="s">
        <v>132</v>
      </c>
      <c r="I53" s="343" t="s">
        <v>329</v>
      </c>
      <c r="J53" s="385">
        <f>H35/100</f>
        <v>2.5</v>
      </c>
      <c r="L53" s="406">
        <f>(J53/2)*(J53/2)*3.1415927*H34</f>
        <v>9.8174771874999998</v>
      </c>
    </row>
    <row r="54" spans="2:18" ht="17.100000000000001" customHeight="1" x14ac:dyDescent="0.2">
      <c r="B54" s="508" t="s">
        <v>331</v>
      </c>
      <c r="C54" s="509"/>
      <c r="D54" s="509"/>
      <c r="E54" s="509"/>
      <c r="F54" s="509"/>
      <c r="G54" s="509"/>
      <c r="H54" s="342" t="s">
        <v>212</v>
      </c>
      <c r="I54" s="343" t="s">
        <v>329</v>
      </c>
      <c r="J54" s="385">
        <f>VLOOKUP($H$33,$B$77:$H$111,7,FALSE)</f>
        <v>0.1</v>
      </c>
    </row>
    <row r="55" spans="2:18" ht="16.5" customHeight="1" x14ac:dyDescent="0.2">
      <c r="B55" s="508" t="s">
        <v>155</v>
      </c>
      <c r="C55" s="509"/>
      <c r="D55" s="509"/>
      <c r="E55" s="509"/>
      <c r="F55" s="509"/>
      <c r="G55" s="509"/>
      <c r="H55" s="342"/>
      <c r="I55" s="343" t="s">
        <v>329</v>
      </c>
      <c r="J55" s="385">
        <f>V52</f>
        <v>0</v>
      </c>
    </row>
    <row r="56" spans="2:18" ht="16.5" customHeight="1" x14ac:dyDescent="0.2">
      <c r="B56" s="508" t="s">
        <v>214</v>
      </c>
      <c r="C56" s="509"/>
      <c r="D56" s="509"/>
      <c r="E56" s="509"/>
      <c r="F56" s="509"/>
      <c r="G56" s="509"/>
      <c r="H56" s="342"/>
      <c r="I56" s="343" t="s">
        <v>332</v>
      </c>
      <c r="J56" s="395">
        <f>H45</f>
        <v>25</v>
      </c>
      <c r="R56" s="334"/>
    </row>
    <row r="57" spans="2:18" ht="16.5" customHeight="1" x14ac:dyDescent="0.25">
      <c r="B57" s="508" t="s">
        <v>149</v>
      </c>
      <c r="C57" s="509"/>
      <c r="D57" s="509"/>
      <c r="E57" s="509"/>
      <c r="F57" s="509"/>
      <c r="G57" s="509"/>
      <c r="H57" s="342" t="s">
        <v>148</v>
      </c>
      <c r="I57" s="343" t="s">
        <v>329</v>
      </c>
      <c r="J57" s="387">
        <f>H37/100</f>
        <v>0.9</v>
      </c>
      <c r="R57" s="334"/>
    </row>
    <row r="58" spans="2:18" ht="16.5" customHeight="1" thickBot="1" x14ac:dyDescent="0.3">
      <c r="B58" s="510" t="s">
        <v>285</v>
      </c>
      <c r="C58" s="511"/>
      <c r="D58" s="511"/>
      <c r="E58" s="511"/>
      <c r="F58" s="511"/>
      <c r="G58" s="511"/>
      <c r="H58" s="344" t="s">
        <v>286</v>
      </c>
      <c r="I58" s="345" t="s">
        <v>333</v>
      </c>
      <c r="J58" s="386">
        <f>IF(OR($H$43="",$H$43&lt;$L$53),$L$53,$H$43)</f>
        <v>9.8174771874999998</v>
      </c>
      <c r="R58" s="334"/>
    </row>
    <row r="59" spans="2:18" ht="16.5" customHeight="1" thickBot="1" x14ac:dyDescent="0.25">
      <c r="B59" s="514"/>
      <c r="C59" s="514"/>
      <c r="D59" s="514"/>
      <c r="E59" s="514"/>
      <c r="F59" s="514"/>
      <c r="G59" s="514"/>
      <c r="H59" s="514"/>
      <c r="I59" s="514"/>
      <c r="J59" s="514"/>
      <c r="R59" s="334"/>
    </row>
    <row r="60" spans="2:18" ht="16.5" customHeight="1" x14ac:dyDescent="0.25">
      <c r="B60" s="662" t="s">
        <v>426</v>
      </c>
      <c r="C60" s="663"/>
      <c r="D60" s="663"/>
      <c r="E60" s="663"/>
      <c r="F60" s="663"/>
      <c r="G60" s="663"/>
      <c r="H60" s="663"/>
      <c r="I60" s="663"/>
      <c r="J60" s="664"/>
      <c r="R60" s="334"/>
    </row>
    <row r="61" spans="2:18" ht="16.5" customHeight="1" x14ac:dyDescent="0.25">
      <c r="B61" s="455"/>
      <c r="C61" s="456"/>
      <c r="D61" s="456"/>
      <c r="E61" s="456"/>
      <c r="F61" s="456"/>
      <c r="G61" s="456"/>
      <c r="H61" s="665" t="s">
        <v>146</v>
      </c>
      <c r="I61" s="665"/>
      <c r="J61" s="457" t="s">
        <v>154</v>
      </c>
      <c r="R61" s="334"/>
    </row>
    <row r="62" spans="2:18" ht="16.5" customHeight="1" x14ac:dyDescent="0.25">
      <c r="B62" s="512" t="s">
        <v>444</v>
      </c>
      <c r="C62" s="513"/>
      <c r="D62" s="513"/>
      <c r="E62" s="513"/>
      <c r="F62" s="513"/>
      <c r="G62" s="513"/>
      <c r="H62" s="500">
        <f>'Sickerschacht_SIR-AQF'!E60</f>
        <v>11.596602996334031</v>
      </c>
      <c r="I62" s="500">
        <f>VLOOKUP(MAX(M63:M64),M63:N64,2,FALSE)</f>
        <v>11.596602996334031</v>
      </c>
      <c r="J62" s="412">
        <f>'Sickerschacht_SIR-AQF'!G60</f>
        <v>8.1901852656250007</v>
      </c>
      <c r="K62" s="411"/>
      <c r="R62" s="334"/>
    </row>
    <row r="63" spans="2:18" ht="17.100000000000001" customHeight="1" x14ac:dyDescent="0.35">
      <c r="B63" s="497" t="s">
        <v>445</v>
      </c>
      <c r="C63" s="498"/>
      <c r="D63" s="498"/>
      <c r="E63" s="498"/>
      <c r="F63" s="498"/>
      <c r="G63" s="370" t="s">
        <v>446</v>
      </c>
      <c r="H63" s="546">
        <f>'Sickerschacht_SIR-AQF'!E61</f>
        <v>2.3624405631242826</v>
      </c>
      <c r="I63" s="546">
        <f>H38*H34</f>
        <v>23.48</v>
      </c>
      <c r="J63" s="413">
        <f>'Sickerschacht_SIR-AQF'!G61</f>
        <v>1.36</v>
      </c>
      <c r="M63" s="404">
        <f>'Sickerschacht_SIR-AQF'!E61</f>
        <v>2.3624405631242826</v>
      </c>
      <c r="N63" s="401">
        <f>'Sickerschacht_SIR-AQF'!E60</f>
        <v>11.596602996334031</v>
      </c>
      <c r="O63" t="str">
        <f>Sickerschacht_SIR!E59</f>
        <v>Sickerschacht</v>
      </c>
      <c r="R63" s="334"/>
    </row>
    <row r="64" spans="2:18" ht="17.100000000000001" customHeight="1" x14ac:dyDescent="0.25">
      <c r="B64" s="497" t="s">
        <v>504</v>
      </c>
      <c r="C64" s="498"/>
      <c r="D64" s="498"/>
      <c r="E64" s="498"/>
      <c r="F64" s="498"/>
      <c r="G64" s="499"/>
      <c r="H64" s="500">
        <f>$H$38</f>
        <v>11.74</v>
      </c>
      <c r="I64" s="500"/>
      <c r="J64" s="412">
        <f>$H$38+$H$43*$H$44*($H$45/100)</f>
        <v>12.24</v>
      </c>
      <c r="M64" s="404">
        <f>'Sickerschacht_SIR-AQF'!G61</f>
        <v>1.36</v>
      </c>
      <c r="N64" s="401">
        <f>'Sickerschacht_SIR-AQF'!G60</f>
        <v>8.1901852656250007</v>
      </c>
      <c r="O64" t="str">
        <f>Sickerschacht_SIR!G59</f>
        <v>Sickeranlage</v>
      </c>
      <c r="R64" s="334"/>
    </row>
    <row r="65" spans="2:23" ht="17.100000000000001" customHeight="1" thickBot="1" x14ac:dyDescent="0.4">
      <c r="B65" s="494" t="s">
        <v>447</v>
      </c>
      <c r="C65" s="495"/>
      <c r="D65" s="495"/>
      <c r="E65" s="495"/>
      <c r="F65" s="495"/>
      <c r="G65" s="414" t="s">
        <v>442</v>
      </c>
      <c r="H65" s="491">
        <f>H39/100</f>
        <v>2.37</v>
      </c>
      <c r="I65" s="492"/>
      <c r="J65" s="493"/>
      <c r="M65" s="404"/>
      <c r="N65" s="401"/>
      <c r="R65" s="334"/>
    </row>
    <row r="66" spans="2:23" ht="17.100000000000001" customHeight="1" thickBot="1" x14ac:dyDescent="0.3">
      <c r="B66" s="666" t="str">
        <f>IF(M63&gt;M64,"Sickerschacht maßgebend", "Sickeranlage inklusive Schotterkörper maßgebend")</f>
        <v>Sickerschacht maßgebend</v>
      </c>
      <c r="C66" s="667"/>
      <c r="D66" s="667"/>
      <c r="E66" s="667"/>
      <c r="F66" s="667"/>
      <c r="G66" s="667"/>
      <c r="H66" s="667"/>
      <c r="I66" s="667"/>
      <c r="J66" s="668"/>
      <c r="R66" s="334"/>
    </row>
    <row r="67" spans="2:23" ht="17.100000000000001" customHeight="1" thickBot="1" x14ac:dyDescent="0.25">
      <c r="B67" s="538" t="str">
        <f>'Sickerschacht_SIR-AQF'!E63</f>
        <v>Stauhöhe OK.</v>
      </c>
      <c r="C67" s="539"/>
      <c r="D67" s="539"/>
      <c r="E67" s="539"/>
      <c r="F67" s="539"/>
      <c r="G67" s="539"/>
      <c r="H67" s="539"/>
      <c r="I67" s="539"/>
      <c r="J67" s="540"/>
      <c r="K67"/>
      <c r="Q67" s="334"/>
      <c r="R67" s="334"/>
    </row>
    <row r="68" spans="2:23" ht="17.100000000000001" customHeight="1" thickBot="1" x14ac:dyDescent="0.3">
      <c r="B68" s="458" t="str">
        <f>IF(H68&lt;=1,"erforderlicher Regenwassersickerschacht:","erforderliche Regenwassersickerschächte:")</f>
        <v>erforderliche Regenwassersickerschächte:</v>
      </c>
      <c r="C68" s="459"/>
      <c r="D68" s="460"/>
      <c r="E68" s="461"/>
      <c r="F68" s="669"/>
      <c r="G68" s="669"/>
      <c r="H68" s="462">
        <f>+H34</f>
        <v>2</v>
      </c>
      <c r="I68" s="463"/>
      <c r="J68" s="464" t="str">
        <f>+H33</f>
        <v>SW-SIR/AQUAfilt-25-11,70</v>
      </c>
      <c r="K68"/>
      <c r="Q68" s="334"/>
      <c r="R68" s="334"/>
    </row>
    <row r="69" spans="2:23" ht="17.100000000000001" customHeight="1" x14ac:dyDescent="0.25">
      <c r="D69" s="346"/>
      <c r="F69" s="347"/>
      <c r="G69" s="347"/>
      <c r="H69" s="347"/>
      <c r="I69" s="347"/>
      <c r="J69" s="347"/>
      <c r="K69"/>
      <c r="Q69" s="334"/>
      <c r="R69" s="334"/>
    </row>
    <row r="70" spans="2:23" ht="17.100000000000001" customHeight="1" x14ac:dyDescent="0.25">
      <c r="D70" s="346"/>
      <c r="F70" s="347"/>
      <c r="H70" s="348"/>
      <c r="I70" s="349"/>
      <c r="J70" s="350"/>
      <c r="K70"/>
      <c r="Q70" s="334"/>
      <c r="R70" s="334"/>
    </row>
    <row r="71" spans="2:23" ht="17.100000000000001" customHeight="1" x14ac:dyDescent="0.25">
      <c r="D71" s="346"/>
      <c r="F71" s="347"/>
      <c r="H71" s="351"/>
      <c r="I71" s="347"/>
      <c r="J71" s="352"/>
      <c r="K71"/>
      <c r="Q71" s="334"/>
      <c r="R71" s="334"/>
    </row>
    <row r="72" spans="2:23" ht="17.100000000000001" customHeight="1" x14ac:dyDescent="0.25">
      <c r="D72" s="346"/>
      <c r="F72" s="347"/>
      <c r="H72" s="351"/>
      <c r="I72" s="347"/>
      <c r="J72" s="352"/>
      <c r="K72"/>
      <c r="Q72" s="334"/>
      <c r="R72" s="334"/>
    </row>
    <row r="73" spans="2:23" ht="17.100000000000001" customHeight="1" x14ac:dyDescent="0.25">
      <c r="B73" s="536" t="s">
        <v>334</v>
      </c>
      <c r="C73" s="536"/>
      <c r="D73" s="536"/>
      <c r="F73" s="347"/>
      <c r="H73" s="353"/>
      <c r="I73" s="354"/>
      <c r="J73" s="355"/>
      <c r="K73"/>
      <c r="Q73" s="334"/>
      <c r="R73" s="334"/>
    </row>
    <row r="74" spans="2:23" ht="17.100000000000001" customHeight="1" x14ac:dyDescent="0.25">
      <c r="B74" s="536" t="s">
        <v>335</v>
      </c>
      <c r="C74" s="536"/>
      <c r="D74" s="536"/>
      <c r="F74" s="347"/>
      <c r="H74" s="347"/>
      <c r="I74" s="335" t="s">
        <v>336</v>
      </c>
      <c r="J74" s="347"/>
      <c r="K74"/>
      <c r="Q74" s="334"/>
      <c r="R74" s="334"/>
    </row>
    <row r="75" spans="2:23" ht="17.100000000000001" customHeight="1" x14ac:dyDescent="0.25">
      <c r="D75" s="346"/>
      <c r="F75" s="347"/>
      <c r="G75" s="347"/>
      <c r="H75" s="347"/>
      <c r="I75" s="347"/>
      <c r="J75" s="347"/>
      <c r="K75"/>
      <c r="Q75" s="334"/>
      <c r="R75" s="334"/>
    </row>
    <row r="76" spans="2:23" ht="17.100000000000001" hidden="1" customHeight="1" x14ac:dyDescent="0.25">
      <c r="C76" s="405" t="s">
        <v>498</v>
      </c>
      <c r="D76" s="405" t="s">
        <v>494</v>
      </c>
      <c r="E76" s="405" t="s">
        <v>496</v>
      </c>
      <c r="F76" s="405" t="s">
        <v>495</v>
      </c>
      <c r="G76" s="405"/>
      <c r="H76" s="405" t="s">
        <v>497</v>
      </c>
      <c r="I76" s="405" t="s">
        <v>500</v>
      </c>
      <c r="J76" s="347"/>
      <c r="K76"/>
      <c r="Q76" s="334"/>
      <c r="R76" s="334"/>
    </row>
    <row r="77" spans="2:23" ht="17.100000000000001" hidden="1" customHeight="1" x14ac:dyDescent="0.2">
      <c r="B77" s="380" t="s">
        <v>455</v>
      </c>
      <c r="C77" s="405">
        <v>0.53</v>
      </c>
      <c r="D77" s="405">
        <v>195</v>
      </c>
      <c r="E77" s="405">
        <v>95</v>
      </c>
      <c r="F77" s="405">
        <v>100</v>
      </c>
      <c r="G77" s="405"/>
      <c r="H77" s="405">
        <v>0.1</v>
      </c>
      <c r="I77" s="405">
        <v>67</v>
      </c>
      <c r="J77"/>
      <c r="K77"/>
      <c r="P77" s="465"/>
      <c r="Q77" s="466"/>
      <c r="R77" s="466"/>
      <c r="S77" s="467"/>
      <c r="T77" s="466"/>
      <c r="U77" s="466"/>
      <c r="V77" s="467"/>
      <c r="W77" s="467"/>
    </row>
    <row r="78" spans="2:23" ht="17.100000000000001" hidden="1" customHeight="1" x14ac:dyDescent="0.2">
      <c r="B78" s="380" t="s">
        <v>456</v>
      </c>
      <c r="C78" s="405">
        <v>1.01</v>
      </c>
      <c r="D78" s="405">
        <v>255</v>
      </c>
      <c r="E78" s="405">
        <v>95</v>
      </c>
      <c r="F78" s="405">
        <v>100</v>
      </c>
      <c r="G78" s="405"/>
      <c r="H78" s="405">
        <v>0.1</v>
      </c>
      <c r="I78" s="405">
        <v>127</v>
      </c>
      <c r="J78"/>
      <c r="K78"/>
      <c r="P78" s="465"/>
      <c r="Q78" s="466"/>
      <c r="R78" s="466"/>
      <c r="S78" s="467"/>
      <c r="T78" s="466"/>
      <c r="U78" s="466"/>
      <c r="V78" s="467"/>
      <c r="W78" s="467"/>
    </row>
    <row r="79" spans="2:23" ht="17.100000000000001" hidden="1" customHeight="1" x14ac:dyDescent="0.2">
      <c r="B79" s="380" t="s">
        <v>457</v>
      </c>
      <c r="C79" s="405">
        <v>1.49</v>
      </c>
      <c r="D79" s="405">
        <v>315</v>
      </c>
      <c r="E79" s="405">
        <v>95</v>
      </c>
      <c r="F79" s="405">
        <v>100</v>
      </c>
      <c r="G79" s="405"/>
      <c r="H79" s="405">
        <v>0.1</v>
      </c>
      <c r="I79" s="405">
        <v>187</v>
      </c>
      <c r="J79"/>
      <c r="K79"/>
      <c r="P79" s="465"/>
      <c r="Q79" s="466"/>
      <c r="R79" s="466"/>
      <c r="S79" s="467"/>
      <c r="T79" s="466"/>
      <c r="U79" s="466"/>
      <c r="V79" s="467"/>
      <c r="W79" s="467"/>
    </row>
    <row r="80" spans="2:23" ht="17.100000000000001" hidden="1" customHeight="1" x14ac:dyDescent="0.2">
      <c r="B80" s="380" t="s">
        <v>458</v>
      </c>
      <c r="C80" s="405">
        <v>2.4500000000000002</v>
      </c>
      <c r="D80" s="405">
        <v>435</v>
      </c>
      <c r="E80" s="405">
        <v>95</v>
      </c>
      <c r="F80" s="405">
        <v>100</v>
      </c>
      <c r="G80" s="405"/>
      <c r="H80" s="405">
        <v>0.1</v>
      </c>
      <c r="I80" s="405">
        <v>307</v>
      </c>
      <c r="J80"/>
      <c r="K80"/>
      <c r="P80" s="465"/>
      <c r="Q80" s="466"/>
      <c r="R80" s="466"/>
      <c r="S80" s="467"/>
      <c r="T80" s="466"/>
      <c r="U80" s="466"/>
      <c r="V80" s="467"/>
      <c r="W80" s="467"/>
    </row>
    <row r="81" spans="2:23" ht="17.100000000000001" hidden="1" customHeight="1" x14ac:dyDescent="0.2">
      <c r="B81" s="380" t="s">
        <v>493</v>
      </c>
      <c r="C81" s="405">
        <v>0.81</v>
      </c>
      <c r="D81" s="405">
        <v>165</v>
      </c>
      <c r="E81" s="405">
        <v>87</v>
      </c>
      <c r="F81" s="405">
        <v>150</v>
      </c>
      <c r="G81" s="405"/>
      <c r="H81" s="405">
        <v>0.1</v>
      </c>
      <c r="I81" s="405">
        <v>44</v>
      </c>
      <c r="J81"/>
      <c r="K81"/>
      <c r="P81" s="468"/>
      <c r="Q81" s="466"/>
      <c r="R81" s="466"/>
      <c r="S81" s="467"/>
      <c r="T81" s="466"/>
      <c r="U81" s="466"/>
      <c r="V81" s="467"/>
      <c r="W81" s="467"/>
    </row>
    <row r="82" spans="2:23" ht="17.100000000000001" hidden="1" customHeight="1" x14ac:dyDescent="0.2">
      <c r="B82" s="380" t="s">
        <v>459</v>
      </c>
      <c r="C82" s="405">
        <v>1.25</v>
      </c>
      <c r="D82" s="405">
        <v>190</v>
      </c>
      <c r="E82" s="405">
        <v>87</v>
      </c>
      <c r="F82" s="405">
        <v>150</v>
      </c>
      <c r="G82" s="405"/>
      <c r="H82" s="405">
        <v>0.1</v>
      </c>
      <c r="I82" s="405">
        <v>69</v>
      </c>
      <c r="J82"/>
      <c r="K82"/>
      <c r="P82" s="468"/>
      <c r="Q82" s="466"/>
      <c r="R82" s="466"/>
      <c r="S82" s="467"/>
      <c r="T82" s="466"/>
      <c r="U82" s="466"/>
      <c r="V82" s="467"/>
      <c r="W82" s="467"/>
    </row>
    <row r="83" spans="2:23" ht="17.100000000000001" hidden="1" customHeight="1" x14ac:dyDescent="0.2">
      <c r="B83" s="380" t="s">
        <v>460</v>
      </c>
      <c r="C83" s="405">
        <v>1.7</v>
      </c>
      <c r="D83" s="405">
        <v>215</v>
      </c>
      <c r="E83" s="405">
        <v>87</v>
      </c>
      <c r="F83" s="405">
        <v>150</v>
      </c>
      <c r="G83" s="405"/>
      <c r="H83" s="405">
        <v>0.1</v>
      </c>
      <c r="I83" s="405">
        <v>94</v>
      </c>
      <c r="J83"/>
      <c r="K83"/>
      <c r="P83" s="468"/>
      <c r="Q83" s="466"/>
      <c r="R83" s="466"/>
      <c r="S83" s="467"/>
      <c r="T83" s="466"/>
      <c r="U83" s="466"/>
      <c r="V83" s="467"/>
      <c r="W83" s="467"/>
    </row>
    <row r="84" spans="2:23" ht="17.100000000000001" hidden="1" customHeight="1" x14ac:dyDescent="0.2">
      <c r="B84" s="380" t="s">
        <v>461</v>
      </c>
      <c r="C84" s="405">
        <v>2.15</v>
      </c>
      <c r="D84" s="405">
        <v>240</v>
      </c>
      <c r="E84" s="405">
        <v>87</v>
      </c>
      <c r="F84" s="405">
        <v>150</v>
      </c>
      <c r="G84" s="405"/>
      <c r="H84" s="405">
        <v>0.1</v>
      </c>
      <c r="I84" s="405">
        <v>119</v>
      </c>
      <c r="J84"/>
      <c r="K84"/>
      <c r="P84" s="468"/>
      <c r="Q84" s="466"/>
      <c r="R84" s="466"/>
      <c r="S84" s="467"/>
      <c r="T84" s="466"/>
      <c r="U84" s="466"/>
      <c r="V84" s="467"/>
      <c r="W84" s="467"/>
    </row>
    <row r="85" spans="2:23" ht="17.100000000000001" hidden="1" customHeight="1" x14ac:dyDescent="0.2">
      <c r="B85" s="380" t="s">
        <v>462</v>
      </c>
      <c r="C85" s="405">
        <v>2.6</v>
      </c>
      <c r="D85" s="405">
        <v>265</v>
      </c>
      <c r="E85" s="405">
        <v>87</v>
      </c>
      <c r="F85" s="405">
        <v>150</v>
      </c>
      <c r="G85" s="405"/>
      <c r="H85" s="405">
        <v>0.1</v>
      </c>
      <c r="I85" s="405">
        <v>144</v>
      </c>
      <c r="J85"/>
      <c r="K85"/>
      <c r="P85" s="468"/>
      <c r="Q85" s="466"/>
      <c r="R85" s="466"/>
      <c r="S85" s="467"/>
      <c r="T85" s="466"/>
      <c r="U85" s="466"/>
      <c r="V85" s="467"/>
      <c r="W85" s="467"/>
    </row>
    <row r="86" spans="2:23" ht="17.100000000000001" hidden="1" customHeight="1" x14ac:dyDescent="0.2">
      <c r="B86" s="380" t="s">
        <v>463</v>
      </c>
      <c r="C86" s="405">
        <v>3.04</v>
      </c>
      <c r="D86" s="405">
        <v>290</v>
      </c>
      <c r="E86" s="405">
        <v>87</v>
      </c>
      <c r="F86" s="405">
        <v>150</v>
      </c>
      <c r="G86" s="405"/>
      <c r="H86" s="405">
        <v>0.1</v>
      </c>
      <c r="I86" s="405">
        <v>169</v>
      </c>
      <c r="J86"/>
      <c r="K86"/>
      <c r="P86" s="468"/>
      <c r="Q86" s="466"/>
      <c r="R86" s="466"/>
      <c r="S86" s="467"/>
      <c r="T86" s="466"/>
      <c r="U86" s="466"/>
      <c r="V86" s="467"/>
      <c r="W86" s="467"/>
    </row>
    <row r="87" spans="2:23" ht="17.100000000000001" hidden="1" customHeight="1" x14ac:dyDescent="0.2">
      <c r="B87" s="380" t="s">
        <v>464</v>
      </c>
      <c r="C87" s="405">
        <v>3.5</v>
      </c>
      <c r="D87" s="405">
        <v>315</v>
      </c>
      <c r="E87" s="405">
        <v>87</v>
      </c>
      <c r="F87" s="405">
        <v>150</v>
      </c>
      <c r="G87" s="405"/>
      <c r="H87" s="405">
        <v>0.1</v>
      </c>
      <c r="I87" s="405">
        <v>194</v>
      </c>
      <c r="J87"/>
      <c r="K87"/>
      <c r="P87" s="468"/>
      <c r="Q87" s="466"/>
      <c r="R87" s="466"/>
      <c r="S87" s="467"/>
      <c r="T87" s="466"/>
      <c r="U87" s="466"/>
      <c r="V87" s="467"/>
      <c r="W87" s="469"/>
    </row>
    <row r="88" spans="2:23" ht="17.100000000000001" hidden="1" customHeight="1" x14ac:dyDescent="0.2">
      <c r="B88" s="380" t="s">
        <v>465</v>
      </c>
      <c r="C88" s="405">
        <v>4.38</v>
      </c>
      <c r="D88" s="405">
        <v>365</v>
      </c>
      <c r="E88" s="405">
        <v>87</v>
      </c>
      <c r="F88" s="405">
        <v>150</v>
      </c>
      <c r="G88" s="405"/>
      <c r="H88" s="405">
        <v>0.1</v>
      </c>
      <c r="I88" s="405">
        <v>244</v>
      </c>
      <c r="J88"/>
      <c r="K88"/>
      <c r="P88" s="468"/>
      <c r="Q88" s="466"/>
      <c r="R88" s="466"/>
      <c r="S88" s="467"/>
      <c r="T88" s="466"/>
      <c r="U88" s="466"/>
      <c r="V88" s="467"/>
      <c r="W88" s="467"/>
    </row>
    <row r="89" spans="2:23" ht="17.100000000000001" hidden="1" customHeight="1" x14ac:dyDescent="0.2">
      <c r="B89" s="380" t="s">
        <v>466</v>
      </c>
      <c r="C89" s="405">
        <v>1.41</v>
      </c>
      <c r="D89" s="405">
        <v>185</v>
      </c>
      <c r="E89" s="405">
        <v>108</v>
      </c>
      <c r="F89" s="405">
        <v>200</v>
      </c>
      <c r="G89" s="405"/>
      <c r="H89" s="405">
        <v>0.1</v>
      </c>
      <c r="I89" s="405">
        <v>43</v>
      </c>
      <c r="J89"/>
      <c r="K89"/>
      <c r="P89" s="465"/>
      <c r="Q89" s="466"/>
      <c r="R89" s="466"/>
      <c r="S89" s="467"/>
      <c r="T89" s="466"/>
      <c r="U89" s="466"/>
      <c r="V89" s="467"/>
      <c r="W89" s="467"/>
    </row>
    <row r="90" spans="2:23" ht="17.100000000000001" hidden="1" customHeight="1" x14ac:dyDescent="0.2">
      <c r="B90" s="380" t="s">
        <v>467</v>
      </c>
      <c r="C90" s="405">
        <v>2.2000000000000002</v>
      </c>
      <c r="D90" s="405">
        <v>210</v>
      </c>
      <c r="E90" s="405">
        <v>108</v>
      </c>
      <c r="F90" s="405">
        <v>200</v>
      </c>
      <c r="G90" s="405"/>
      <c r="H90" s="405">
        <v>0.1</v>
      </c>
      <c r="I90" s="405">
        <v>68</v>
      </c>
      <c r="J90"/>
      <c r="K90"/>
      <c r="P90" s="465"/>
      <c r="Q90" s="466"/>
      <c r="R90" s="466"/>
      <c r="S90" s="467"/>
      <c r="T90" s="466"/>
      <c r="U90" s="466"/>
      <c r="V90" s="467"/>
      <c r="W90" s="467"/>
    </row>
    <row r="91" spans="2:23" ht="17.100000000000001" hidden="1" customHeight="1" x14ac:dyDescent="0.2">
      <c r="B91" s="380" t="s">
        <v>468</v>
      </c>
      <c r="C91" s="405">
        <v>2.98</v>
      </c>
      <c r="D91" s="405">
        <v>235</v>
      </c>
      <c r="E91" s="405">
        <v>108</v>
      </c>
      <c r="F91" s="405">
        <v>200</v>
      </c>
      <c r="G91" s="405"/>
      <c r="H91" s="405">
        <v>0.1</v>
      </c>
      <c r="I91" s="405">
        <v>93</v>
      </c>
      <c r="J91"/>
      <c r="K91"/>
      <c r="P91" s="465"/>
      <c r="Q91" s="466"/>
      <c r="R91" s="466"/>
      <c r="S91" s="467"/>
      <c r="T91" s="466"/>
      <c r="U91" s="466"/>
      <c r="V91" s="467"/>
      <c r="W91" s="467"/>
    </row>
    <row r="92" spans="2:23" ht="17.100000000000001" hidden="1" customHeight="1" x14ac:dyDescent="0.2">
      <c r="B92" s="380" t="s">
        <v>469</v>
      </c>
      <c r="C92" s="405">
        <v>3.77</v>
      </c>
      <c r="D92" s="405">
        <v>260</v>
      </c>
      <c r="E92" s="405">
        <v>108</v>
      </c>
      <c r="F92" s="405">
        <v>200</v>
      </c>
      <c r="G92" s="405"/>
      <c r="H92" s="405">
        <v>0.1</v>
      </c>
      <c r="I92" s="405">
        <v>118</v>
      </c>
      <c r="J92"/>
      <c r="K92"/>
      <c r="P92" s="465"/>
      <c r="Q92" s="466"/>
      <c r="R92" s="466"/>
      <c r="S92" s="467"/>
      <c r="T92" s="466"/>
      <c r="U92" s="466"/>
      <c r="V92" s="467"/>
      <c r="W92" s="467"/>
    </row>
    <row r="93" spans="2:23" ht="17.100000000000001" hidden="1" customHeight="1" x14ac:dyDescent="0.2">
      <c r="B93" s="380" t="s">
        <v>470</v>
      </c>
      <c r="C93" s="405">
        <v>4.58</v>
      </c>
      <c r="D93" s="405">
        <v>285</v>
      </c>
      <c r="E93" s="405">
        <v>108</v>
      </c>
      <c r="F93" s="405">
        <v>200</v>
      </c>
      <c r="G93" s="405"/>
      <c r="H93" s="405">
        <v>0.1</v>
      </c>
      <c r="I93" s="405">
        <v>143</v>
      </c>
      <c r="J93"/>
      <c r="K93"/>
      <c r="P93" s="465"/>
      <c r="Q93" s="466"/>
      <c r="R93" s="466"/>
      <c r="S93" s="467"/>
      <c r="T93" s="466"/>
      <c r="U93" s="466"/>
      <c r="V93" s="467"/>
      <c r="W93" s="467"/>
    </row>
    <row r="94" spans="2:23" ht="17.100000000000001" hidden="1" customHeight="1" x14ac:dyDescent="0.2">
      <c r="B94" s="380" t="s">
        <v>471</v>
      </c>
      <c r="C94" s="405">
        <v>5.37</v>
      </c>
      <c r="D94" s="405">
        <v>310</v>
      </c>
      <c r="E94" s="405">
        <v>108</v>
      </c>
      <c r="F94" s="405">
        <v>200</v>
      </c>
      <c r="G94" s="405"/>
      <c r="H94" s="405">
        <v>0.1</v>
      </c>
      <c r="I94" s="405">
        <v>168</v>
      </c>
      <c r="J94"/>
      <c r="K94"/>
      <c r="P94" s="465"/>
      <c r="Q94" s="466"/>
      <c r="R94" s="466"/>
      <c r="S94" s="467"/>
      <c r="T94" s="466"/>
      <c r="U94" s="466"/>
      <c r="V94" s="467"/>
      <c r="W94" s="467"/>
    </row>
    <row r="95" spans="2:23" ht="17.100000000000001" hidden="1" customHeight="1" x14ac:dyDescent="0.2">
      <c r="B95" s="380" t="s">
        <v>472</v>
      </c>
      <c r="C95" s="405">
        <v>6.15</v>
      </c>
      <c r="D95" s="405">
        <v>335</v>
      </c>
      <c r="E95" s="405">
        <v>108</v>
      </c>
      <c r="F95" s="405">
        <v>200</v>
      </c>
      <c r="G95" s="405"/>
      <c r="H95" s="405">
        <v>0.1</v>
      </c>
      <c r="I95" s="405">
        <v>193</v>
      </c>
      <c r="J95"/>
      <c r="K95"/>
      <c r="P95" s="465"/>
      <c r="Q95" s="466"/>
      <c r="R95" s="466"/>
      <c r="S95" s="467"/>
      <c r="T95" s="466"/>
      <c r="U95" s="466"/>
      <c r="V95" s="467"/>
      <c r="W95" s="467"/>
    </row>
    <row r="96" spans="2:23" ht="17.100000000000001" hidden="1" customHeight="1" x14ac:dyDescent="0.2">
      <c r="B96" s="380" t="s">
        <v>473</v>
      </c>
      <c r="C96" s="405">
        <v>6.94</v>
      </c>
      <c r="D96" s="405">
        <v>360</v>
      </c>
      <c r="E96" s="405">
        <v>108</v>
      </c>
      <c r="F96" s="405">
        <v>200</v>
      </c>
      <c r="G96" s="405"/>
      <c r="H96" s="405">
        <v>0.1</v>
      </c>
      <c r="I96" s="405">
        <v>218</v>
      </c>
      <c r="J96"/>
      <c r="K96"/>
      <c r="P96" s="465"/>
      <c r="Q96" s="466"/>
      <c r="R96" s="466"/>
      <c r="S96" s="467"/>
      <c r="T96" s="466"/>
      <c r="U96" s="466"/>
      <c r="V96" s="467"/>
      <c r="W96" s="467"/>
    </row>
    <row r="97" spans="2:23" ht="17.100000000000001" hidden="1" customHeight="1" x14ac:dyDescent="0.2">
      <c r="B97" s="380" t="s">
        <v>474</v>
      </c>
      <c r="C97" s="405">
        <v>7.76</v>
      </c>
      <c r="D97" s="405">
        <v>385</v>
      </c>
      <c r="E97" s="405">
        <v>108</v>
      </c>
      <c r="F97" s="405">
        <v>200</v>
      </c>
      <c r="G97" s="405"/>
      <c r="H97" s="405">
        <v>0.1</v>
      </c>
      <c r="I97" s="405">
        <v>243</v>
      </c>
      <c r="J97"/>
      <c r="K97"/>
      <c r="P97" s="465"/>
      <c r="Q97" s="466"/>
      <c r="R97" s="466"/>
      <c r="S97" s="467"/>
      <c r="T97" s="466"/>
      <c r="U97" s="466"/>
      <c r="V97" s="467"/>
      <c r="W97" s="467"/>
    </row>
    <row r="98" spans="2:23" ht="17.100000000000001" hidden="1" customHeight="1" x14ac:dyDescent="0.2">
      <c r="B98" s="380" t="s">
        <v>475</v>
      </c>
      <c r="C98" s="405">
        <v>4.33</v>
      </c>
      <c r="D98" s="405">
        <v>210</v>
      </c>
      <c r="E98" s="405">
        <v>90</v>
      </c>
      <c r="F98" s="405">
        <v>250</v>
      </c>
      <c r="G98" s="405"/>
      <c r="H98" s="405">
        <v>0.1</v>
      </c>
      <c r="I98" s="405">
        <v>87</v>
      </c>
      <c r="J98"/>
      <c r="K98"/>
      <c r="P98" s="465"/>
      <c r="Q98" s="466"/>
      <c r="R98" s="466"/>
      <c r="S98" s="467"/>
      <c r="T98" s="466"/>
      <c r="U98" s="466"/>
      <c r="V98" s="467"/>
      <c r="W98" s="467"/>
    </row>
    <row r="99" spans="2:23" ht="17.100000000000001" hidden="1" customHeight="1" x14ac:dyDescent="0.2">
      <c r="B99" s="380" t="s">
        <v>476</v>
      </c>
      <c r="C99" s="405">
        <v>5.55</v>
      </c>
      <c r="D99" s="405">
        <v>235</v>
      </c>
      <c r="E99" s="405">
        <v>90</v>
      </c>
      <c r="F99" s="405">
        <v>250</v>
      </c>
      <c r="G99" s="405"/>
      <c r="H99" s="405">
        <v>0.1</v>
      </c>
      <c r="I99" s="405">
        <v>112</v>
      </c>
      <c r="J99"/>
      <c r="K99"/>
      <c r="P99" s="465"/>
      <c r="Q99" s="466"/>
      <c r="R99" s="466"/>
      <c r="S99" s="467"/>
      <c r="T99" s="466"/>
      <c r="U99" s="466"/>
      <c r="V99" s="467"/>
      <c r="W99" s="467"/>
    </row>
    <row r="100" spans="2:23" ht="17.100000000000001" hidden="1" customHeight="1" x14ac:dyDescent="0.2">
      <c r="B100" s="380" t="s">
        <v>477</v>
      </c>
      <c r="C100" s="405">
        <v>6.78</v>
      </c>
      <c r="D100" s="405">
        <v>260</v>
      </c>
      <c r="E100" s="405">
        <v>90</v>
      </c>
      <c r="F100" s="405">
        <v>250</v>
      </c>
      <c r="G100" s="405"/>
      <c r="H100" s="405">
        <v>0.1</v>
      </c>
      <c r="I100" s="405">
        <v>137</v>
      </c>
      <c r="J100"/>
      <c r="K100"/>
      <c r="P100" s="465"/>
      <c r="Q100" s="466"/>
      <c r="R100" s="466"/>
      <c r="S100" s="467"/>
      <c r="T100" s="466"/>
      <c r="U100" s="466"/>
      <c r="V100" s="467"/>
      <c r="W100" s="467"/>
    </row>
    <row r="101" spans="2:23" ht="17.100000000000001" hidden="1" customHeight="1" x14ac:dyDescent="0.2">
      <c r="B101" s="380" t="s">
        <v>478</v>
      </c>
      <c r="C101" s="405">
        <v>7.86</v>
      </c>
      <c r="D101" s="405">
        <v>285</v>
      </c>
      <c r="E101" s="405">
        <v>90</v>
      </c>
      <c r="F101" s="405">
        <v>250</v>
      </c>
      <c r="G101" s="405"/>
      <c r="H101" s="405">
        <v>0.1</v>
      </c>
      <c r="I101" s="405">
        <v>162</v>
      </c>
      <c r="J101"/>
      <c r="K101"/>
      <c r="P101" s="465"/>
      <c r="Q101" s="466"/>
      <c r="R101" s="466"/>
      <c r="S101" s="467"/>
      <c r="T101" s="466"/>
      <c r="U101" s="466"/>
      <c r="V101" s="467"/>
      <c r="W101" s="467"/>
    </row>
    <row r="102" spans="2:23" ht="17.100000000000001" hidden="1" customHeight="1" x14ac:dyDescent="0.2">
      <c r="B102" s="380" t="s">
        <v>479</v>
      </c>
      <c r="C102" s="405">
        <v>9.23</v>
      </c>
      <c r="D102" s="405">
        <v>310</v>
      </c>
      <c r="E102" s="405">
        <v>90</v>
      </c>
      <c r="F102" s="405">
        <v>250</v>
      </c>
      <c r="G102" s="405"/>
      <c r="H102" s="405">
        <v>0.1</v>
      </c>
      <c r="I102" s="405">
        <v>187</v>
      </c>
      <c r="J102"/>
      <c r="K102"/>
      <c r="P102" s="465"/>
      <c r="Q102" s="466"/>
      <c r="R102" s="466"/>
      <c r="S102" s="467"/>
      <c r="T102" s="466"/>
      <c r="U102" s="466"/>
      <c r="V102" s="467"/>
      <c r="W102" s="467"/>
    </row>
    <row r="103" spans="2:23" ht="17.100000000000001" hidden="1" customHeight="1" x14ac:dyDescent="0.2">
      <c r="B103" s="380" t="s">
        <v>480</v>
      </c>
      <c r="C103" s="405">
        <v>10.51</v>
      </c>
      <c r="D103" s="405">
        <v>335</v>
      </c>
      <c r="E103" s="405">
        <v>90</v>
      </c>
      <c r="F103" s="405">
        <v>250</v>
      </c>
      <c r="G103" s="405"/>
      <c r="H103" s="405">
        <v>0.1</v>
      </c>
      <c r="I103" s="405">
        <v>212</v>
      </c>
      <c r="J103"/>
      <c r="K103"/>
      <c r="P103" s="465"/>
      <c r="Q103" s="466"/>
      <c r="R103" s="466"/>
      <c r="S103" s="467"/>
      <c r="T103" s="466"/>
      <c r="U103" s="466"/>
      <c r="V103" s="467"/>
      <c r="W103" s="467"/>
    </row>
    <row r="104" spans="2:23" ht="17.100000000000001" hidden="1" customHeight="1" x14ac:dyDescent="0.2">
      <c r="B104" s="380" t="s">
        <v>481</v>
      </c>
      <c r="C104" s="405">
        <v>11.74</v>
      </c>
      <c r="D104" s="405">
        <v>360</v>
      </c>
      <c r="E104" s="405">
        <v>90</v>
      </c>
      <c r="F104" s="405">
        <v>250</v>
      </c>
      <c r="G104" s="405"/>
      <c r="H104" s="405">
        <v>0.1</v>
      </c>
      <c r="I104" s="405">
        <v>237</v>
      </c>
      <c r="J104"/>
      <c r="K104"/>
      <c r="P104" s="465"/>
      <c r="Q104" s="466"/>
      <c r="R104" s="466"/>
      <c r="S104" s="467"/>
      <c r="T104" s="466"/>
      <c r="U104" s="466"/>
      <c r="V104" s="467"/>
      <c r="W104" s="467"/>
    </row>
    <row r="105" spans="2:23" ht="17.100000000000001" hidden="1" customHeight="1" x14ac:dyDescent="0.2">
      <c r="B105" s="380" t="s">
        <v>482</v>
      </c>
      <c r="C105" s="405">
        <v>12.96</v>
      </c>
      <c r="D105" s="405">
        <v>385</v>
      </c>
      <c r="E105" s="405">
        <v>90</v>
      </c>
      <c r="F105" s="405">
        <v>250</v>
      </c>
      <c r="G105" s="405"/>
      <c r="H105" s="405">
        <v>0.1</v>
      </c>
      <c r="I105" s="405">
        <v>262</v>
      </c>
      <c r="J105"/>
      <c r="K105"/>
      <c r="P105" s="465"/>
      <c r="Q105" s="466"/>
      <c r="R105" s="466"/>
      <c r="S105" s="467"/>
      <c r="T105" s="466"/>
      <c r="U105" s="466"/>
      <c r="V105" s="467"/>
      <c r="W105" s="467"/>
    </row>
    <row r="106" spans="2:23" ht="17.100000000000001" hidden="1" customHeight="1" x14ac:dyDescent="0.2">
      <c r="B106" s="380" t="s">
        <v>483</v>
      </c>
      <c r="C106" s="405">
        <v>14.19</v>
      </c>
      <c r="D106" s="405">
        <v>410</v>
      </c>
      <c r="E106" s="405">
        <v>90</v>
      </c>
      <c r="F106" s="405">
        <v>250</v>
      </c>
      <c r="G106" s="405"/>
      <c r="H106" s="405">
        <v>0.1</v>
      </c>
      <c r="I106" s="405">
        <v>287</v>
      </c>
      <c r="J106"/>
      <c r="P106" s="465"/>
      <c r="Q106" s="466"/>
      <c r="R106" s="466"/>
      <c r="S106" s="467"/>
      <c r="T106" s="466"/>
      <c r="U106" s="466"/>
      <c r="V106" s="467"/>
      <c r="W106" s="467"/>
    </row>
    <row r="107" spans="2:23" ht="17.100000000000001" hidden="1" customHeight="1" x14ac:dyDescent="0.2">
      <c r="B107" s="380" t="s">
        <v>484</v>
      </c>
      <c r="C107" s="405">
        <v>15.47</v>
      </c>
      <c r="D107" s="405">
        <v>435</v>
      </c>
      <c r="E107" s="405">
        <v>90</v>
      </c>
      <c r="F107" s="405">
        <v>250</v>
      </c>
      <c r="G107" s="405"/>
      <c r="H107" s="405">
        <v>0.1</v>
      </c>
      <c r="I107" s="405">
        <v>312</v>
      </c>
      <c r="J107"/>
      <c r="P107" s="465"/>
      <c r="Q107" s="466"/>
      <c r="R107" s="466"/>
      <c r="S107" s="467"/>
      <c r="T107" s="466"/>
      <c r="U107" s="466"/>
      <c r="V107" s="467"/>
      <c r="W107" s="467"/>
    </row>
    <row r="108" spans="2:23" ht="17.100000000000001" hidden="1" customHeight="1" x14ac:dyDescent="0.2">
      <c r="B108" s="380" t="s">
        <v>485</v>
      </c>
      <c r="C108" s="405">
        <v>9.25</v>
      </c>
      <c r="D108" s="405">
        <v>260</v>
      </c>
      <c r="E108" s="405">
        <v>90</v>
      </c>
      <c r="F108" s="405">
        <v>300</v>
      </c>
      <c r="G108" s="405"/>
      <c r="H108" s="405">
        <v>0.1</v>
      </c>
      <c r="I108" s="405">
        <v>137</v>
      </c>
      <c r="J108"/>
      <c r="P108" s="465"/>
      <c r="Q108" s="466"/>
      <c r="R108" s="466"/>
      <c r="S108" s="467"/>
      <c r="T108" s="466"/>
      <c r="U108" s="466"/>
      <c r="V108" s="467"/>
      <c r="W108" s="467"/>
    </row>
    <row r="109" spans="2:23" ht="17.100000000000001" hidden="1" customHeight="1" x14ac:dyDescent="0.2">
      <c r="B109" s="380" t="s">
        <v>486</v>
      </c>
      <c r="C109" s="405">
        <v>11.01</v>
      </c>
      <c r="D109" s="405">
        <v>285</v>
      </c>
      <c r="E109" s="405">
        <v>90</v>
      </c>
      <c r="F109" s="405">
        <v>300</v>
      </c>
      <c r="G109" s="405"/>
      <c r="H109" s="405">
        <v>0.1</v>
      </c>
      <c r="I109" s="405">
        <v>162</v>
      </c>
      <c r="J109"/>
      <c r="P109" s="465"/>
      <c r="Q109" s="466"/>
      <c r="R109" s="466"/>
      <c r="S109" s="467"/>
      <c r="T109" s="466"/>
      <c r="U109" s="466"/>
      <c r="V109" s="467"/>
      <c r="W109" s="467"/>
    </row>
    <row r="110" spans="2:23" ht="17.100000000000001" hidden="1" customHeight="1" x14ac:dyDescent="0.2">
      <c r="B110" s="380" t="s">
        <v>487</v>
      </c>
      <c r="C110" s="405">
        <v>12.85</v>
      </c>
      <c r="D110" s="405">
        <v>310</v>
      </c>
      <c r="E110" s="405">
        <v>90</v>
      </c>
      <c r="F110" s="405">
        <v>300</v>
      </c>
      <c r="G110" s="405"/>
      <c r="H110" s="405">
        <v>0.1</v>
      </c>
      <c r="I110" s="405">
        <v>187</v>
      </c>
      <c r="J110"/>
      <c r="P110" s="465"/>
      <c r="Q110" s="466"/>
      <c r="R110" s="466"/>
      <c r="S110" s="467"/>
      <c r="T110" s="466"/>
      <c r="U110" s="466"/>
      <c r="V110" s="467"/>
      <c r="W110" s="467"/>
    </row>
    <row r="111" spans="2:23" ht="17.100000000000001" hidden="1" customHeight="1" x14ac:dyDescent="0.2">
      <c r="B111" s="380" t="s">
        <v>488</v>
      </c>
      <c r="C111" s="405">
        <v>14.47</v>
      </c>
      <c r="D111" s="405">
        <v>335</v>
      </c>
      <c r="E111" s="405">
        <v>90</v>
      </c>
      <c r="F111" s="405">
        <v>300</v>
      </c>
      <c r="G111" s="405"/>
      <c r="H111" s="405">
        <v>0.1</v>
      </c>
      <c r="I111" s="405">
        <v>212</v>
      </c>
      <c r="J111"/>
      <c r="P111" s="465"/>
      <c r="Q111" s="466"/>
      <c r="R111" s="466"/>
      <c r="S111" s="467"/>
      <c r="T111" s="466"/>
      <c r="U111" s="466"/>
      <c r="V111" s="467"/>
      <c r="W111" s="467"/>
    </row>
    <row r="112" spans="2:23" ht="17.100000000000001" hidden="1" customHeight="1" x14ac:dyDescent="0.2">
      <c r="B112" s="380" t="s">
        <v>489</v>
      </c>
      <c r="C112" s="405">
        <v>16.38</v>
      </c>
      <c r="D112" s="405">
        <v>360</v>
      </c>
      <c r="E112" s="405">
        <v>90</v>
      </c>
      <c r="F112" s="405">
        <v>300</v>
      </c>
      <c r="G112" s="405"/>
      <c r="H112" s="405">
        <v>0.1</v>
      </c>
      <c r="I112" s="405">
        <v>237</v>
      </c>
      <c r="P112" s="465"/>
      <c r="Q112" s="466"/>
      <c r="R112" s="466"/>
      <c r="S112" s="467"/>
      <c r="T112" s="466"/>
      <c r="U112" s="466"/>
      <c r="V112" s="467"/>
      <c r="W112" s="467"/>
    </row>
    <row r="113" spans="2:23" ht="17.100000000000001" hidden="1" customHeight="1" x14ac:dyDescent="0.2">
      <c r="B113" s="380" t="s">
        <v>490</v>
      </c>
      <c r="C113" s="405">
        <v>18.149999999999999</v>
      </c>
      <c r="D113" s="405">
        <v>385</v>
      </c>
      <c r="E113" s="405">
        <v>90</v>
      </c>
      <c r="F113" s="405">
        <v>300</v>
      </c>
      <c r="G113" s="405"/>
      <c r="H113" s="405">
        <v>0.1</v>
      </c>
      <c r="I113" s="405">
        <v>262</v>
      </c>
      <c r="P113" s="465"/>
      <c r="R113" s="466"/>
      <c r="S113" s="467"/>
      <c r="T113" s="466"/>
      <c r="U113" s="466"/>
      <c r="V113" s="467"/>
      <c r="W113" s="467"/>
    </row>
    <row r="114" spans="2:23" ht="17.100000000000001" hidden="1" customHeight="1" x14ac:dyDescent="0.2">
      <c r="B114" s="380" t="s">
        <v>491</v>
      </c>
      <c r="C114" s="405">
        <v>19.989999999999998</v>
      </c>
      <c r="D114" s="405">
        <v>410</v>
      </c>
      <c r="E114" s="405">
        <v>90</v>
      </c>
      <c r="F114" s="405">
        <v>300</v>
      </c>
      <c r="G114" s="405"/>
      <c r="H114" s="405">
        <v>0.1</v>
      </c>
      <c r="I114" s="405">
        <v>287</v>
      </c>
      <c r="P114" s="465"/>
      <c r="R114" s="466"/>
      <c r="S114" s="467"/>
      <c r="T114" s="466"/>
      <c r="U114" s="466"/>
      <c r="V114" s="467"/>
      <c r="W114" s="467"/>
    </row>
    <row r="115" spans="2:23" ht="17.100000000000001" hidden="1" customHeight="1" x14ac:dyDescent="0.2">
      <c r="B115" s="380" t="s">
        <v>492</v>
      </c>
      <c r="C115" s="405">
        <v>23.59</v>
      </c>
      <c r="D115" s="405">
        <v>460</v>
      </c>
      <c r="E115" s="405">
        <v>90</v>
      </c>
      <c r="F115" s="405">
        <v>300</v>
      </c>
      <c r="G115" s="405"/>
      <c r="H115" s="405">
        <v>0.1</v>
      </c>
      <c r="I115" s="405">
        <v>337</v>
      </c>
      <c r="P115" s="465"/>
      <c r="R115" s="466"/>
      <c r="S115" s="467"/>
      <c r="T115" s="466"/>
      <c r="U115" s="466"/>
      <c r="V115" s="467"/>
      <c r="W115" s="467"/>
    </row>
  </sheetData>
  <mergeCells count="93">
    <mergeCell ref="B59:J59"/>
    <mergeCell ref="B60:J60"/>
    <mergeCell ref="H65:J65"/>
    <mergeCell ref="B35:F35"/>
    <mergeCell ref="H35:J35"/>
    <mergeCell ref="B36:F36"/>
    <mergeCell ref="H36:J36"/>
    <mergeCell ref="B37:F37"/>
    <mergeCell ref="B55:G55"/>
    <mergeCell ref="B49:G49"/>
    <mergeCell ref="B51:G51"/>
    <mergeCell ref="B52:G52"/>
    <mergeCell ref="B53:G53"/>
    <mergeCell ref="H37:J37"/>
    <mergeCell ref="B65:F65"/>
    <mergeCell ref="B38:F38"/>
    <mergeCell ref="H38:J38"/>
    <mergeCell ref="B39:F39"/>
    <mergeCell ref="B66:J66"/>
    <mergeCell ref="B67:J67"/>
    <mergeCell ref="F68:G68"/>
    <mergeCell ref="B50:G50"/>
    <mergeCell ref="B41:J41"/>
    <mergeCell ref="B43:F43"/>
    <mergeCell ref="H43:J43"/>
    <mergeCell ref="B44:F44"/>
    <mergeCell ref="H44:J44"/>
    <mergeCell ref="B56:G56"/>
    <mergeCell ref="B57:G57"/>
    <mergeCell ref="B58:G58"/>
    <mergeCell ref="B54:G54"/>
    <mergeCell ref="B45:G45"/>
    <mergeCell ref="B73:D73"/>
    <mergeCell ref="B74:D74"/>
    <mergeCell ref="B64:G64"/>
    <mergeCell ref="H64:I64"/>
    <mergeCell ref="H61:I61"/>
    <mergeCell ref="B62:G62"/>
    <mergeCell ref="H62:I62"/>
    <mergeCell ref="B63:F63"/>
    <mergeCell ref="H63:I63"/>
    <mergeCell ref="H45:J45"/>
    <mergeCell ref="B46:J46"/>
    <mergeCell ref="B47:J47"/>
    <mergeCell ref="B48:G48"/>
    <mergeCell ref="B22:J22"/>
    <mergeCell ref="I23:J23"/>
    <mergeCell ref="I24:J24"/>
    <mergeCell ref="B25:J25"/>
    <mergeCell ref="B26:F26"/>
    <mergeCell ref="B33:F33"/>
    <mergeCell ref="H33:J33"/>
    <mergeCell ref="B34:F34"/>
    <mergeCell ref="H34:J34"/>
    <mergeCell ref="B40:F40"/>
    <mergeCell ref="H40:J40"/>
    <mergeCell ref="H39:J39"/>
    <mergeCell ref="B24:G24"/>
    <mergeCell ref="B23:G23"/>
    <mergeCell ref="B27:J28"/>
    <mergeCell ref="B29:I29"/>
    <mergeCell ref="B30:J30"/>
    <mergeCell ref="B21:J21"/>
    <mergeCell ref="B17:D17"/>
    <mergeCell ref="E17:F17"/>
    <mergeCell ref="G17:H17"/>
    <mergeCell ref="I17:J17"/>
    <mergeCell ref="B18:D18"/>
    <mergeCell ref="G18:H18"/>
    <mergeCell ref="I18:J18"/>
    <mergeCell ref="B19:D19"/>
    <mergeCell ref="E19:F19"/>
    <mergeCell ref="G19:H19"/>
    <mergeCell ref="I19:J19"/>
    <mergeCell ref="I20:J20"/>
    <mergeCell ref="E18:F18"/>
    <mergeCell ref="B15:D15"/>
    <mergeCell ref="E15:F15"/>
    <mergeCell ref="G15:H15"/>
    <mergeCell ref="I15:J15"/>
    <mergeCell ref="B16:D16"/>
    <mergeCell ref="E16:F16"/>
    <mergeCell ref="G16:H16"/>
    <mergeCell ref="I16:J16"/>
    <mergeCell ref="B14:D14"/>
    <mergeCell ref="E14:F14"/>
    <mergeCell ref="G14:H14"/>
    <mergeCell ref="I14:J14"/>
    <mergeCell ref="B2:H5"/>
    <mergeCell ref="B6:H7"/>
    <mergeCell ref="C8:J8"/>
    <mergeCell ref="B9:J9"/>
    <mergeCell ref="B10:J12"/>
  </mergeCells>
  <conditionalFormatting sqref="B67">
    <cfRule type="containsText" dxfId="17" priority="1" stopIfTrue="1" operator="containsText" text="ACHTUNG! Gewählte Stauhöhe zu gering!">
      <formula>NOT(ISERROR(SEARCH("ACHTUNG! Gewählte Stauhöhe zu gering!",B67)))</formula>
    </cfRule>
    <cfRule type="containsText" dxfId="16" priority="2" stopIfTrue="1" operator="containsText" text="Stauhöhe OK.">
      <formula>NOT(ISERROR(SEARCH("Stauhöhe OK.",B67)))</formula>
    </cfRule>
  </conditionalFormatting>
  <dataValidations disablePrompts="1" count="8">
    <dataValidation type="custom" allowBlank="1" showInputMessage="1" showErrorMessage="1" sqref="J56 H45" xr:uid="{00000000-0002-0000-0100-000000000000}">
      <formula1>AND(H45&gt;=15,H45&lt;=30)</formula1>
    </dataValidation>
    <dataValidation type="list" allowBlank="1" showInputMessage="1" showErrorMessage="1" sqref="J49" xr:uid="{00000000-0002-0000-0100-000001000000}">
      <formula1>$P$23:$P$25</formula1>
    </dataValidation>
    <dataValidation allowBlank="1" showInputMessage="1" showErrorMessage="1" promptTitle="Eingabe Stückzahl SIR" sqref="H44:J44" xr:uid="{00000000-0002-0000-0100-000002000000}"/>
    <dataValidation type="list" allowBlank="1" showInputMessage="1" showErrorMessage="1" sqref="M38" xr:uid="{00000000-0002-0000-0100-000003000000}">
      <formula1>$L$33:$L$34</formula1>
    </dataValidation>
    <dataValidation allowBlank="1" showInputMessage="1" showErrorMessage="1" promptTitle="Eingabe Bezeichnung Teilfläche" prompt="Bitte geben Sie die Bezeichnung der beregneten Teilfläche ein!" sqref="B15:D19" xr:uid="{00000000-0002-0000-0100-000004000000}"/>
    <dataValidation allowBlank="1" showInputMessage="1" showErrorMessage="1" prompt="Bitte geben Sie die Bezeichnung der beregneten Teilfläche ein!" sqref="B14:D14" xr:uid="{00000000-0002-0000-0100-000005000000}"/>
    <dataValidation type="decimal" allowBlank="1" showInputMessage="1" showErrorMessage="1" promptTitle="Eingabe der Größe der Teilfläche" prompt="Bitte geben Sie die Fläche der beregneten Teilfläche ein!" sqref="E15:F19" xr:uid="{00000000-0002-0000-0100-000006000000}">
      <formula1>0</formula1>
      <formula2>9999999999999990000</formula2>
    </dataValidation>
    <dataValidation type="list" allowBlank="1" showInputMessage="1" showErrorMessage="1" promptTitle="Eingabe Sickerschachtty" sqref="H33:J33" xr:uid="{00000000-0002-0000-0100-000007000000}">
      <formula1>$B$77:$B$111</formula1>
    </dataValidation>
  </dataValidations>
  <pageMargins left="0.7" right="0.7" top="0.78740157499999996" bottom="0.78740157499999996" header="0.3" footer="0.3"/>
  <pageSetup paperSize="9" orientation="portrait" verticalDpi="120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2">
    <tabColor theme="9"/>
  </sheetPr>
  <dimension ref="B1:V112"/>
  <sheetViews>
    <sheetView workbookViewId="0">
      <selection activeCell="B67" sqref="B67:J67"/>
    </sheetView>
  </sheetViews>
  <sheetFormatPr baseColWidth="10" defaultRowHeight="17.100000000000001" customHeight="1" x14ac:dyDescent="0.2"/>
  <cols>
    <col min="1" max="1" width="4.85546875" style="334" customWidth="1"/>
    <col min="2" max="2" width="19.7109375" style="334" customWidth="1"/>
    <col min="3" max="3" width="14.140625" style="334" customWidth="1"/>
    <col min="4" max="4" width="16.7109375" style="335" customWidth="1"/>
    <col min="5" max="5" width="9.7109375" style="334" customWidth="1"/>
    <col min="6" max="6" width="10" style="334" customWidth="1"/>
    <col min="7" max="7" width="15.7109375" style="334" bestFit="1" customWidth="1"/>
    <col min="8" max="8" width="10.28515625" style="334" customWidth="1"/>
    <col min="9" max="9" width="11.7109375" style="334" customWidth="1"/>
    <col min="10" max="10" width="19.42578125" style="334" bestFit="1" customWidth="1"/>
    <col min="11" max="11" width="1.85546875" style="334" customWidth="1"/>
    <col min="12" max="15" width="11.42578125" hidden="1" customWidth="1"/>
    <col min="16" max="16" width="0" hidden="1" customWidth="1"/>
    <col min="17" max="18" width="10.85546875" customWidth="1"/>
    <col min="19" max="16384" width="11.42578125" style="334"/>
  </cols>
  <sheetData>
    <row r="1" spans="2:10" ht="9.75" customHeight="1" thickBot="1" x14ac:dyDescent="0.25"/>
    <row r="2" spans="2:10" ht="17.100000000000001" customHeight="1" x14ac:dyDescent="0.2">
      <c r="B2" s="688" t="s">
        <v>318</v>
      </c>
      <c r="C2" s="689"/>
      <c r="D2" s="689"/>
      <c r="E2" s="689"/>
      <c r="F2" s="689"/>
      <c r="G2" s="689"/>
      <c r="H2" s="689"/>
      <c r="I2" s="389"/>
      <c r="J2" s="336"/>
    </row>
    <row r="3" spans="2:10" ht="17.100000000000001" customHeight="1" x14ac:dyDescent="0.2">
      <c r="B3" s="690"/>
      <c r="C3" s="691"/>
      <c r="D3" s="691"/>
      <c r="E3" s="691"/>
      <c r="F3" s="691"/>
      <c r="G3" s="691"/>
      <c r="H3" s="691"/>
      <c r="I3" s="390"/>
      <c r="J3" s="337"/>
    </row>
    <row r="4" spans="2:10" ht="17.100000000000001" customHeight="1" x14ac:dyDescent="0.2">
      <c r="B4" s="690"/>
      <c r="C4" s="691"/>
      <c r="D4" s="691"/>
      <c r="E4" s="691"/>
      <c r="F4" s="691"/>
      <c r="G4" s="691"/>
      <c r="H4" s="691"/>
      <c r="I4" s="390"/>
      <c r="J4" s="337"/>
    </row>
    <row r="5" spans="2:10" ht="17.100000000000001" customHeight="1" x14ac:dyDescent="0.2">
      <c r="B5" s="690"/>
      <c r="C5" s="691"/>
      <c r="D5" s="691"/>
      <c r="E5" s="691"/>
      <c r="F5" s="691"/>
      <c r="G5" s="691"/>
      <c r="H5" s="691"/>
      <c r="I5" s="390"/>
      <c r="J5" s="337"/>
    </row>
    <row r="6" spans="2:10" ht="17.100000000000001" customHeight="1" x14ac:dyDescent="0.25">
      <c r="B6" s="692" t="s">
        <v>448</v>
      </c>
      <c r="C6" s="693"/>
      <c r="D6" s="693"/>
      <c r="E6" s="693"/>
      <c r="F6" s="693"/>
      <c r="G6" s="693"/>
      <c r="H6" s="693"/>
      <c r="I6" s="347"/>
      <c r="J6" s="337"/>
    </row>
    <row r="7" spans="2:10" ht="17.100000000000001" customHeight="1" thickBot="1" x14ac:dyDescent="0.3">
      <c r="B7" s="694"/>
      <c r="C7" s="695"/>
      <c r="D7" s="695"/>
      <c r="E7" s="695"/>
      <c r="F7" s="695"/>
      <c r="G7" s="695"/>
      <c r="H7" s="695"/>
      <c r="I7" s="347"/>
      <c r="J7" s="338"/>
    </row>
    <row r="8" spans="2:10" ht="21.75" customHeight="1" thickBot="1" x14ac:dyDescent="0.3">
      <c r="B8" s="339" t="s">
        <v>319</v>
      </c>
      <c r="C8" s="579"/>
      <c r="D8" s="580"/>
      <c r="E8" s="580"/>
      <c r="F8" s="580"/>
      <c r="G8" s="580"/>
      <c r="H8" s="580"/>
      <c r="I8" s="580"/>
      <c r="J8" s="581"/>
    </row>
    <row r="9" spans="2:10" ht="15" customHeight="1" thickBot="1" x14ac:dyDescent="0.25">
      <c r="B9" s="572" t="s">
        <v>429</v>
      </c>
      <c r="C9" s="572"/>
      <c r="D9" s="572"/>
      <c r="E9" s="572"/>
      <c r="F9" s="572"/>
      <c r="G9" s="572"/>
      <c r="H9" s="572"/>
      <c r="I9" s="572"/>
      <c r="J9" s="572"/>
    </row>
    <row r="10" spans="2:10" ht="21.75" customHeight="1" x14ac:dyDescent="0.2">
      <c r="B10" s="639" t="s">
        <v>320</v>
      </c>
      <c r="C10" s="640"/>
      <c r="D10" s="640"/>
      <c r="E10" s="640"/>
      <c r="F10" s="640"/>
      <c r="G10" s="640"/>
      <c r="H10" s="640"/>
      <c r="I10" s="640"/>
      <c r="J10" s="641"/>
    </row>
    <row r="11" spans="2:10" ht="21.75" customHeight="1" x14ac:dyDescent="0.2">
      <c r="B11" s="642"/>
      <c r="C11" s="643"/>
      <c r="D11" s="643"/>
      <c r="E11" s="643"/>
      <c r="F11" s="643"/>
      <c r="G11" s="643"/>
      <c r="H11" s="643"/>
      <c r="I11" s="643"/>
      <c r="J11" s="644"/>
    </row>
    <row r="12" spans="2:10" ht="21.75" customHeight="1" thickBot="1" x14ac:dyDescent="0.25">
      <c r="B12" s="645"/>
      <c r="C12" s="646"/>
      <c r="D12" s="646"/>
      <c r="E12" s="646"/>
      <c r="F12" s="646"/>
      <c r="G12" s="646"/>
      <c r="H12" s="646"/>
      <c r="I12" s="646"/>
      <c r="J12" s="647"/>
    </row>
    <row r="13" spans="2:10" ht="17.100000000000001" customHeight="1" thickBot="1" x14ac:dyDescent="0.25">
      <c r="B13" s="363"/>
      <c r="C13" s="363"/>
      <c r="D13" s="363"/>
      <c r="E13" s="363"/>
      <c r="F13" s="363"/>
      <c r="G13" s="363"/>
      <c r="H13" s="363"/>
      <c r="I13" s="363"/>
      <c r="J13" s="363"/>
    </row>
    <row r="14" spans="2:10" ht="17.100000000000001" customHeight="1" x14ac:dyDescent="0.25">
      <c r="B14" s="696" t="s">
        <v>321</v>
      </c>
      <c r="C14" s="697"/>
      <c r="D14" s="683"/>
      <c r="E14" s="682" t="s">
        <v>322</v>
      </c>
      <c r="F14" s="683"/>
      <c r="G14" s="684" t="s">
        <v>411</v>
      </c>
      <c r="H14" s="685"/>
      <c r="I14" s="686" t="s">
        <v>323</v>
      </c>
      <c r="J14" s="687"/>
    </row>
    <row r="15" spans="2:10" ht="17.100000000000001" customHeight="1" x14ac:dyDescent="0.2">
      <c r="B15" s="648" t="s">
        <v>441</v>
      </c>
      <c r="C15" s="649"/>
      <c r="D15" s="649"/>
      <c r="E15" s="552">
        <v>2119</v>
      </c>
      <c r="F15" s="552"/>
      <c r="G15" s="553">
        <v>1</v>
      </c>
      <c r="H15" s="553"/>
      <c r="I15" s="650">
        <f>+E15*G15</f>
        <v>2119</v>
      </c>
      <c r="J15" s="651" t="s">
        <v>76</v>
      </c>
    </row>
    <row r="16" spans="2:10" ht="17.100000000000001" customHeight="1" x14ac:dyDescent="0.2">
      <c r="B16" s="549"/>
      <c r="C16" s="550"/>
      <c r="D16" s="551"/>
      <c r="E16" s="552"/>
      <c r="F16" s="552"/>
      <c r="G16" s="553"/>
      <c r="H16" s="553"/>
      <c r="I16" s="650">
        <f>+E16*G16</f>
        <v>0</v>
      </c>
      <c r="J16" s="651" t="s">
        <v>76</v>
      </c>
    </row>
    <row r="17" spans="2:10" ht="17.100000000000001" customHeight="1" x14ac:dyDescent="0.2">
      <c r="B17" s="549"/>
      <c r="C17" s="550"/>
      <c r="D17" s="551"/>
      <c r="E17" s="552"/>
      <c r="F17" s="552"/>
      <c r="G17" s="553"/>
      <c r="H17" s="553"/>
      <c r="I17" s="650">
        <f>+E17*G17</f>
        <v>0</v>
      </c>
      <c r="J17" s="651" t="s">
        <v>76</v>
      </c>
    </row>
    <row r="18" spans="2:10" ht="17.100000000000001" customHeight="1" x14ac:dyDescent="0.2">
      <c r="B18" s="549"/>
      <c r="C18" s="550"/>
      <c r="D18" s="551"/>
      <c r="E18" s="552"/>
      <c r="F18" s="552"/>
      <c r="G18" s="553"/>
      <c r="H18" s="553"/>
      <c r="I18" s="650">
        <f>+E18*G18</f>
        <v>0</v>
      </c>
      <c r="J18" s="651" t="s">
        <v>76</v>
      </c>
    </row>
    <row r="19" spans="2:10" ht="17.100000000000001" customHeight="1" x14ac:dyDescent="0.2">
      <c r="B19" s="549"/>
      <c r="C19" s="550"/>
      <c r="D19" s="551"/>
      <c r="E19" s="552"/>
      <c r="F19" s="552"/>
      <c r="G19" s="553"/>
      <c r="H19" s="553"/>
      <c r="I19" s="650">
        <f>+E19*G19</f>
        <v>0</v>
      </c>
      <c r="J19" s="651" t="s">
        <v>76</v>
      </c>
    </row>
    <row r="20" spans="2:10" ht="17.100000000000001" customHeight="1" thickBot="1" x14ac:dyDescent="0.25">
      <c r="B20" s="364" t="s">
        <v>324</v>
      </c>
      <c r="C20" s="365"/>
      <c r="D20" s="366"/>
      <c r="E20" s="357"/>
      <c r="F20" s="357"/>
      <c r="G20" s="357"/>
      <c r="H20" s="357"/>
      <c r="I20" s="652">
        <f>SUM(I15:I19)</f>
        <v>2119</v>
      </c>
      <c r="J20" s="653" t="s">
        <v>76</v>
      </c>
    </row>
    <row r="21" spans="2:10" ht="17.100000000000001" customHeight="1" thickBot="1" x14ac:dyDescent="0.25">
      <c r="B21" s="496"/>
      <c r="C21" s="496"/>
      <c r="D21" s="496"/>
      <c r="E21" s="496"/>
      <c r="F21" s="496"/>
      <c r="G21" s="496"/>
      <c r="H21" s="496"/>
      <c r="I21" s="496"/>
      <c r="J21" s="496"/>
    </row>
    <row r="22" spans="2:10" ht="17.100000000000001" customHeight="1" x14ac:dyDescent="0.25">
      <c r="B22" s="674" t="s">
        <v>412</v>
      </c>
      <c r="C22" s="675"/>
      <c r="D22" s="675"/>
      <c r="E22" s="675"/>
      <c r="F22" s="675"/>
      <c r="G22" s="675"/>
      <c r="H22" s="675"/>
      <c r="I22" s="675"/>
      <c r="J22" s="676"/>
    </row>
    <row r="23" spans="2:10" ht="17.100000000000001" customHeight="1" x14ac:dyDescent="0.25">
      <c r="B23" s="368" t="s">
        <v>413</v>
      </c>
      <c r="C23" s="369"/>
      <c r="D23" s="681"/>
      <c r="E23" s="681"/>
      <c r="F23" s="681"/>
      <c r="G23" s="681"/>
      <c r="H23" s="370" t="s">
        <v>414</v>
      </c>
      <c r="I23" s="564">
        <v>1E-4</v>
      </c>
      <c r="J23" s="565"/>
    </row>
    <row r="24" spans="2:10" ht="17.100000000000001" customHeight="1" thickBot="1" x14ac:dyDescent="0.3">
      <c r="B24" s="371" t="s">
        <v>415</v>
      </c>
      <c r="C24" s="357"/>
      <c r="D24" s="358"/>
      <c r="E24" s="357"/>
      <c r="F24" s="357"/>
      <c r="G24" s="357"/>
      <c r="H24" s="372" t="s">
        <v>416</v>
      </c>
      <c r="I24" s="558">
        <f>IF(I23="","",+$I$23*1000*60)</f>
        <v>6</v>
      </c>
      <c r="J24" s="559"/>
    </row>
    <row r="25" spans="2:10" ht="17.100000000000001" customHeight="1" thickBot="1" x14ac:dyDescent="0.25">
      <c r="B25" s="514"/>
      <c r="C25" s="514"/>
      <c r="D25" s="514"/>
      <c r="E25" s="514"/>
      <c r="F25" s="514"/>
      <c r="G25" s="514"/>
      <c r="H25" s="514"/>
      <c r="I25" s="514"/>
      <c r="J25" s="514"/>
    </row>
    <row r="26" spans="2:10" ht="17.100000000000001" customHeight="1" x14ac:dyDescent="0.25">
      <c r="B26" s="674" t="s">
        <v>438</v>
      </c>
      <c r="C26" s="675"/>
      <c r="D26" s="675"/>
      <c r="E26" s="675"/>
      <c r="F26" s="675"/>
      <c r="G26" s="446"/>
      <c r="H26" s="415"/>
      <c r="I26" s="415"/>
      <c r="J26" s="447">
        <f>'Bemessungsregendaten, kfu'!D18</f>
        <v>5216</v>
      </c>
    </row>
    <row r="27" spans="2:10" ht="17.100000000000001" customHeight="1" x14ac:dyDescent="0.2">
      <c r="B27" s="656" t="s">
        <v>436</v>
      </c>
      <c r="C27" s="657"/>
      <c r="D27" s="657"/>
      <c r="E27" s="657"/>
      <c r="F27" s="657"/>
      <c r="G27" s="657"/>
      <c r="H27" s="657"/>
      <c r="I27" s="657"/>
      <c r="J27" s="658"/>
    </row>
    <row r="28" spans="2:10" ht="17.100000000000001" customHeight="1" x14ac:dyDescent="0.2">
      <c r="B28" s="656"/>
      <c r="C28" s="657"/>
      <c r="D28" s="657"/>
      <c r="E28" s="657"/>
      <c r="F28" s="657"/>
      <c r="G28" s="657"/>
      <c r="H28" s="657"/>
      <c r="I28" s="657"/>
      <c r="J28" s="658"/>
    </row>
    <row r="29" spans="2:10" ht="17.100000000000001" customHeight="1" thickBot="1" x14ac:dyDescent="0.3">
      <c r="B29" s="531" t="s">
        <v>437</v>
      </c>
      <c r="C29" s="532"/>
      <c r="D29" s="532"/>
      <c r="E29" s="532"/>
      <c r="F29" s="532"/>
      <c r="G29" s="532"/>
      <c r="H29" s="532"/>
      <c r="I29" s="532"/>
      <c r="J29" s="400">
        <v>5</v>
      </c>
    </row>
    <row r="30" spans="2:10" ht="17.100000000000001" customHeight="1" thickBot="1" x14ac:dyDescent="0.25">
      <c r="B30" s="562"/>
      <c r="C30" s="562"/>
      <c r="D30" s="562"/>
      <c r="E30" s="562"/>
      <c r="F30" s="562"/>
      <c r="G30" s="562"/>
      <c r="H30" s="562"/>
      <c r="I30" s="562"/>
      <c r="J30" s="562"/>
    </row>
    <row r="31" spans="2:10" ht="17.100000000000001" customHeight="1" x14ac:dyDescent="0.25">
      <c r="B31" s="417" t="s">
        <v>427</v>
      </c>
      <c r="C31" s="415"/>
      <c r="D31" s="415"/>
      <c r="E31" s="415"/>
      <c r="F31" s="415"/>
      <c r="G31" s="415"/>
      <c r="H31" s="415"/>
      <c r="I31" s="415"/>
      <c r="J31" s="416"/>
    </row>
    <row r="32" spans="2:10" ht="17.100000000000001" customHeight="1" x14ac:dyDescent="0.2">
      <c r="B32" s="376" t="s">
        <v>432</v>
      </c>
      <c r="C32" s="377"/>
      <c r="D32" s="377"/>
      <c r="E32" s="377"/>
      <c r="F32" s="377"/>
      <c r="G32" s="378"/>
      <c r="H32" s="378"/>
      <c r="I32" s="378"/>
      <c r="J32" s="379"/>
    </row>
    <row r="33" spans="2:18" ht="17.100000000000001" customHeight="1" x14ac:dyDescent="0.25">
      <c r="B33" s="516" t="s">
        <v>417</v>
      </c>
      <c r="C33" s="486"/>
      <c r="D33" s="486"/>
      <c r="E33" s="486"/>
      <c r="F33" s="486"/>
      <c r="G33" s="367"/>
      <c r="H33" s="517" t="s">
        <v>376</v>
      </c>
      <c r="I33" s="517"/>
      <c r="J33" s="518"/>
    </row>
    <row r="34" spans="2:18" ht="17.100000000000001" customHeight="1" x14ac:dyDescent="0.25">
      <c r="B34" s="516" t="s">
        <v>418</v>
      </c>
      <c r="C34" s="486"/>
      <c r="D34" s="486"/>
      <c r="E34" s="486"/>
      <c r="F34" s="486"/>
      <c r="G34" s="367"/>
      <c r="H34" s="560">
        <v>2</v>
      </c>
      <c r="I34" s="560"/>
      <c r="J34" s="561"/>
    </row>
    <row r="35" spans="2:18" ht="17.100000000000001" customHeight="1" x14ac:dyDescent="0.2">
      <c r="B35" s="516" t="s">
        <v>419</v>
      </c>
      <c r="C35" s="486"/>
      <c r="D35" s="486"/>
      <c r="E35" s="486"/>
      <c r="F35" s="486"/>
      <c r="G35" s="391" t="s">
        <v>420</v>
      </c>
      <c r="H35" s="527">
        <f>VLOOKUP($H$33,$B$77:$H$111,5,FALSE)</f>
        <v>150</v>
      </c>
      <c r="I35" s="527"/>
      <c r="J35" s="528"/>
    </row>
    <row r="36" spans="2:18" ht="17.100000000000001" customHeight="1" x14ac:dyDescent="0.2">
      <c r="B36" s="516" t="s">
        <v>421</v>
      </c>
      <c r="C36" s="486"/>
      <c r="D36" s="486"/>
      <c r="E36" s="486"/>
      <c r="F36" s="486"/>
      <c r="G36" s="391" t="s">
        <v>422</v>
      </c>
      <c r="H36" s="527">
        <f>VLOOKUP($H$33,$B$77:$H$111,3,FALSE)</f>
        <v>165</v>
      </c>
      <c r="I36" s="527"/>
      <c r="J36" s="528"/>
    </row>
    <row r="37" spans="2:18" ht="17.100000000000001" customHeight="1" x14ac:dyDescent="0.2">
      <c r="B37" s="516" t="s">
        <v>423</v>
      </c>
      <c r="C37" s="486"/>
      <c r="D37" s="486"/>
      <c r="E37" s="486"/>
      <c r="F37" s="486"/>
      <c r="G37" s="391" t="s">
        <v>424</v>
      </c>
      <c r="H37" s="527">
        <f>VLOOKUP($H$33,$B$77:$H$111,4,FALSE)</f>
        <v>87</v>
      </c>
      <c r="I37" s="527"/>
      <c r="J37" s="528"/>
    </row>
    <row r="38" spans="2:18" ht="17.100000000000001" customHeight="1" x14ac:dyDescent="0.35">
      <c r="B38" s="516" t="s">
        <v>439</v>
      </c>
      <c r="C38" s="486"/>
      <c r="D38" s="486"/>
      <c r="E38" s="486"/>
      <c r="F38" s="486"/>
      <c r="G38" s="392" t="s">
        <v>430</v>
      </c>
      <c r="H38" s="547">
        <f>VLOOKUP($H$33,$B$77:$H$111,2,FALSE)</f>
        <v>1.1499999999999999</v>
      </c>
      <c r="I38" s="547"/>
      <c r="J38" s="548"/>
    </row>
    <row r="39" spans="2:18" ht="17.100000000000001" customHeight="1" x14ac:dyDescent="0.35">
      <c r="B39" s="516" t="s">
        <v>440</v>
      </c>
      <c r="C39" s="486"/>
      <c r="D39" s="486"/>
      <c r="E39" s="486"/>
      <c r="F39" s="486"/>
      <c r="G39" s="392" t="s">
        <v>443</v>
      </c>
      <c r="H39" s="527">
        <f>VLOOKUP($H$33,$B$77:$I$111,8,FALSE)</f>
        <v>78</v>
      </c>
      <c r="I39" s="527"/>
      <c r="J39" s="528"/>
    </row>
    <row r="40" spans="2:18" ht="33.950000000000003" customHeight="1" thickBot="1" x14ac:dyDescent="0.25">
      <c r="B40" s="489" t="s">
        <v>425</v>
      </c>
      <c r="C40" s="490"/>
      <c r="D40" s="490"/>
      <c r="E40" s="490"/>
      <c r="F40" s="490"/>
      <c r="G40" s="393" t="s">
        <v>431</v>
      </c>
      <c r="H40" s="529">
        <f>+I20/H34</f>
        <v>1059.5</v>
      </c>
      <c r="I40" s="529"/>
      <c r="J40" s="530"/>
    </row>
    <row r="41" spans="2:18" ht="17.100000000000001" customHeight="1" thickBot="1" x14ac:dyDescent="0.25">
      <c r="B41" s="533"/>
      <c r="C41" s="533"/>
      <c r="D41" s="533"/>
      <c r="E41" s="533"/>
      <c r="F41" s="533"/>
      <c r="G41" s="533"/>
      <c r="H41" s="533"/>
      <c r="I41" s="533"/>
      <c r="J41" s="533"/>
    </row>
    <row r="42" spans="2:18" ht="17.100000000000001" customHeight="1" x14ac:dyDescent="0.25">
      <c r="B42" s="417" t="s">
        <v>502</v>
      </c>
      <c r="C42" s="415"/>
      <c r="D42" s="415"/>
      <c r="E42" s="415"/>
      <c r="F42" s="415"/>
      <c r="G42" s="415"/>
      <c r="H42" s="415"/>
      <c r="I42" s="415"/>
      <c r="J42" s="416"/>
    </row>
    <row r="43" spans="2:18" ht="17.100000000000001" customHeight="1" x14ac:dyDescent="0.25">
      <c r="B43" s="485" t="s">
        <v>434</v>
      </c>
      <c r="C43" s="486"/>
      <c r="D43" s="486"/>
      <c r="E43" s="486"/>
      <c r="F43" s="486"/>
      <c r="G43" s="392" t="s">
        <v>433</v>
      </c>
      <c r="H43" s="534">
        <v>18</v>
      </c>
      <c r="I43" s="534"/>
      <c r="J43" s="535"/>
    </row>
    <row r="44" spans="2:18" ht="17.100000000000001" customHeight="1" x14ac:dyDescent="0.35">
      <c r="B44" s="485" t="s">
        <v>155</v>
      </c>
      <c r="C44" s="486"/>
      <c r="D44" s="486"/>
      <c r="E44" s="486"/>
      <c r="F44" s="486"/>
      <c r="G44" s="392" t="s">
        <v>435</v>
      </c>
      <c r="H44" s="487">
        <v>0.5</v>
      </c>
      <c r="I44" s="487"/>
      <c r="J44" s="488"/>
      <c r="M44" s="334"/>
      <c r="N44" s="334"/>
      <c r="O44" s="334"/>
      <c r="P44" s="334"/>
      <c r="Q44" s="334"/>
      <c r="R44" s="334"/>
    </row>
    <row r="45" spans="2:18" ht="17.100000000000001" customHeight="1" thickBot="1" x14ac:dyDescent="0.3">
      <c r="B45" s="510" t="s">
        <v>214</v>
      </c>
      <c r="C45" s="511"/>
      <c r="D45" s="511"/>
      <c r="E45" s="511"/>
      <c r="F45" s="511"/>
      <c r="G45" s="511"/>
      <c r="H45" s="504">
        <v>25</v>
      </c>
      <c r="I45" s="504"/>
      <c r="J45" s="505"/>
      <c r="M45" s="334"/>
      <c r="N45" s="334"/>
      <c r="O45" s="334"/>
      <c r="P45" s="334"/>
      <c r="Q45" s="334"/>
      <c r="R45" s="334"/>
    </row>
    <row r="46" spans="2:18" ht="17.100000000000001" customHeight="1" thickBot="1" x14ac:dyDescent="0.25">
      <c r="B46" s="496"/>
      <c r="C46" s="496"/>
      <c r="D46" s="496"/>
      <c r="E46" s="496"/>
      <c r="F46" s="496"/>
      <c r="G46" s="496"/>
      <c r="H46" s="496"/>
      <c r="I46" s="496"/>
      <c r="J46" s="496"/>
      <c r="M46" s="334"/>
      <c r="N46" s="334"/>
      <c r="O46" s="334"/>
      <c r="P46" s="334"/>
      <c r="Q46" s="334"/>
      <c r="R46" s="334"/>
    </row>
    <row r="47" spans="2:18" ht="17.100000000000001" customHeight="1" thickBot="1" x14ac:dyDescent="0.3">
      <c r="B47" s="678" t="s">
        <v>325</v>
      </c>
      <c r="C47" s="679"/>
      <c r="D47" s="679"/>
      <c r="E47" s="679"/>
      <c r="F47" s="679"/>
      <c r="G47" s="679"/>
      <c r="H47" s="679"/>
      <c r="I47" s="679"/>
      <c r="J47" s="680"/>
      <c r="N47" s="334"/>
      <c r="O47" s="334"/>
      <c r="P47" s="334"/>
      <c r="Q47" s="334"/>
      <c r="R47" s="334"/>
    </row>
    <row r="48" spans="2:18" ht="17.100000000000001" customHeight="1" x14ac:dyDescent="0.2">
      <c r="B48" s="506" t="s">
        <v>452</v>
      </c>
      <c r="C48" s="507"/>
      <c r="D48" s="507"/>
      <c r="E48" s="507"/>
      <c r="F48" s="507"/>
      <c r="G48" s="507"/>
      <c r="H48" s="340" t="s">
        <v>115</v>
      </c>
      <c r="I48" s="341" t="s">
        <v>326</v>
      </c>
      <c r="J48" s="388">
        <f>0.003</f>
        <v>3.0000000000000001E-3</v>
      </c>
      <c r="N48" s="334"/>
      <c r="O48" s="334"/>
      <c r="P48" s="334"/>
      <c r="Q48" s="334"/>
      <c r="R48" s="334"/>
    </row>
    <row r="49" spans="2:18" ht="17.100000000000001" customHeight="1" x14ac:dyDescent="0.2">
      <c r="B49" s="508" t="s">
        <v>51</v>
      </c>
      <c r="C49" s="509"/>
      <c r="D49" s="509"/>
      <c r="E49" s="509"/>
      <c r="F49" s="509"/>
      <c r="G49" s="509"/>
      <c r="H49" s="342" t="s">
        <v>66</v>
      </c>
      <c r="I49" s="343" t="s">
        <v>327</v>
      </c>
      <c r="J49" s="396">
        <v>1</v>
      </c>
    </row>
    <row r="50" spans="2:18" ht="17.100000000000001" customHeight="1" x14ac:dyDescent="0.2">
      <c r="B50" s="508" t="s">
        <v>453</v>
      </c>
      <c r="C50" s="509"/>
      <c r="D50" s="509"/>
      <c r="E50" s="509"/>
      <c r="F50" s="509"/>
      <c r="G50" s="509"/>
      <c r="H50" s="342"/>
      <c r="I50" s="343" t="s">
        <v>329</v>
      </c>
      <c r="J50" s="445">
        <v>0.05</v>
      </c>
    </row>
    <row r="51" spans="2:18" ht="17.100000000000001" customHeight="1" x14ac:dyDescent="0.25">
      <c r="B51" s="508" t="s">
        <v>108</v>
      </c>
      <c r="C51" s="509"/>
      <c r="D51" s="509"/>
      <c r="E51" s="509"/>
      <c r="F51" s="509"/>
      <c r="G51" s="509"/>
      <c r="H51" s="342" t="s">
        <v>116</v>
      </c>
      <c r="I51" s="343" t="s">
        <v>326</v>
      </c>
      <c r="J51" s="398">
        <v>3.0000000000000001E-3</v>
      </c>
    </row>
    <row r="52" spans="2:18" ht="17.100000000000001" customHeight="1" x14ac:dyDescent="0.2">
      <c r="B52" s="508" t="s">
        <v>229</v>
      </c>
      <c r="C52" s="509"/>
      <c r="D52" s="509"/>
      <c r="E52" s="509"/>
      <c r="F52" s="509"/>
      <c r="G52" s="509"/>
      <c r="H52" s="342"/>
      <c r="I52" s="343" t="s">
        <v>327</v>
      </c>
      <c r="J52" s="399">
        <v>1</v>
      </c>
    </row>
    <row r="53" spans="2:18" ht="17.100000000000001" customHeight="1" x14ac:dyDescent="0.25">
      <c r="B53" s="508" t="s">
        <v>330</v>
      </c>
      <c r="C53" s="509"/>
      <c r="D53" s="509"/>
      <c r="E53" s="509"/>
      <c r="F53" s="509"/>
      <c r="G53" s="509"/>
      <c r="H53" s="342" t="s">
        <v>132</v>
      </c>
      <c r="I53" s="343" t="s">
        <v>329</v>
      </c>
      <c r="J53" s="385">
        <f>H35/100</f>
        <v>1.5</v>
      </c>
      <c r="L53" s="406">
        <f>(J53/2)*(J53/2)*3.1415927*H34</f>
        <v>3.5342917874999999</v>
      </c>
    </row>
    <row r="54" spans="2:18" ht="17.100000000000001" customHeight="1" x14ac:dyDescent="0.2">
      <c r="B54" s="508" t="s">
        <v>331</v>
      </c>
      <c r="C54" s="509"/>
      <c r="D54" s="509"/>
      <c r="E54" s="509"/>
      <c r="F54" s="509"/>
      <c r="G54" s="509"/>
      <c r="H54" s="342" t="s">
        <v>212</v>
      </c>
      <c r="I54" s="343" t="s">
        <v>329</v>
      </c>
      <c r="J54" s="385">
        <f>VLOOKUP($H$33,$B$77:$H$111,7,FALSE)</f>
        <v>0.09</v>
      </c>
    </row>
    <row r="55" spans="2:18" ht="16.5" customHeight="1" x14ac:dyDescent="0.2">
      <c r="B55" s="508" t="s">
        <v>155</v>
      </c>
      <c r="C55" s="509"/>
      <c r="D55" s="509"/>
      <c r="E55" s="509"/>
      <c r="F55" s="509"/>
      <c r="G55" s="509"/>
      <c r="H55" s="342"/>
      <c r="I55" s="343" t="s">
        <v>329</v>
      </c>
      <c r="J55" s="385">
        <f>V52</f>
        <v>0</v>
      </c>
    </row>
    <row r="56" spans="2:18" ht="16.5" customHeight="1" x14ac:dyDescent="0.2">
      <c r="B56" s="508" t="s">
        <v>214</v>
      </c>
      <c r="C56" s="509"/>
      <c r="D56" s="509"/>
      <c r="E56" s="509"/>
      <c r="F56" s="509"/>
      <c r="G56" s="509"/>
      <c r="H56" s="342"/>
      <c r="I56" s="343" t="s">
        <v>332</v>
      </c>
      <c r="J56" s="395">
        <f>H45</f>
        <v>25</v>
      </c>
      <c r="R56" s="334"/>
    </row>
    <row r="57" spans="2:18" ht="16.5" customHeight="1" x14ac:dyDescent="0.25">
      <c r="B57" s="508" t="s">
        <v>149</v>
      </c>
      <c r="C57" s="509"/>
      <c r="D57" s="509"/>
      <c r="E57" s="509"/>
      <c r="F57" s="509"/>
      <c r="G57" s="509"/>
      <c r="H57" s="342" t="s">
        <v>148</v>
      </c>
      <c r="I57" s="343" t="s">
        <v>329</v>
      </c>
      <c r="J57" s="387">
        <f>H37/100</f>
        <v>0.87</v>
      </c>
      <c r="R57" s="334"/>
    </row>
    <row r="58" spans="2:18" ht="16.5" customHeight="1" thickBot="1" x14ac:dyDescent="0.3">
      <c r="B58" s="510" t="s">
        <v>285</v>
      </c>
      <c r="C58" s="511"/>
      <c r="D58" s="511"/>
      <c r="E58" s="511"/>
      <c r="F58" s="511"/>
      <c r="G58" s="511"/>
      <c r="H58" s="344" t="s">
        <v>286</v>
      </c>
      <c r="I58" s="345" t="s">
        <v>333</v>
      </c>
      <c r="J58" s="386">
        <f>IF(OR($H$43="",$H$43&lt;$L$53),$L$53,$H$43)</f>
        <v>18</v>
      </c>
      <c r="R58" s="334"/>
    </row>
    <row r="59" spans="2:18" ht="16.5" customHeight="1" thickBot="1" x14ac:dyDescent="0.25">
      <c r="B59" s="514"/>
      <c r="C59" s="514"/>
      <c r="D59" s="514"/>
      <c r="E59" s="514"/>
      <c r="F59" s="514"/>
      <c r="G59" s="514"/>
      <c r="H59" s="514"/>
      <c r="I59" s="514"/>
      <c r="J59" s="514"/>
      <c r="R59" s="334"/>
    </row>
    <row r="60" spans="2:18" ht="16.5" customHeight="1" x14ac:dyDescent="0.25">
      <c r="B60" s="674" t="s">
        <v>426</v>
      </c>
      <c r="C60" s="675"/>
      <c r="D60" s="675"/>
      <c r="E60" s="675"/>
      <c r="F60" s="675"/>
      <c r="G60" s="675"/>
      <c r="H60" s="675"/>
      <c r="I60" s="675"/>
      <c r="J60" s="676"/>
      <c r="R60" s="334"/>
    </row>
    <row r="61" spans="2:18" ht="16.5" customHeight="1" x14ac:dyDescent="0.25">
      <c r="B61" s="418"/>
      <c r="C61" s="419"/>
      <c r="D61" s="419"/>
      <c r="E61" s="419"/>
      <c r="F61" s="419"/>
      <c r="G61" s="419"/>
      <c r="H61" s="677" t="s">
        <v>146</v>
      </c>
      <c r="I61" s="677"/>
      <c r="J61" s="420" t="s">
        <v>154</v>
      </c>
      <c r="R61" s="334"/>
    </row>
    <row r="62" spans="2:18" ht="16.5" customHeight="1" x14ac:dyDescent="0.25">
      <c r="B62" s="512" t="s">
        <v>444</v>
      </c>
      <c r="C62" s="513"/>
      <c r="D62" s="513"/>
      <c r="E62" s="513"/>
      <c r="F62" s="513"/>
      <c r="G62" s="513"/>
      <c r="H62" s="500">
        <f>Sickerschacht_SIR!E60</f>
        <v>0</v>
      </c>
      <c r="I62" s="500">
        <f>VLOOKUP(MAX(M63:M64),M63:N64,2,FALSE)</f>
        <v>0</v>
      </c>
      <c r="J62" s="412">
        <f>Sickerschacht_SIR!G60</f>
        <v>0.16808599999999993</v>
      </c>
      <c r="K62" s="411"/>
      <c r="R62" s="334"/>
    </row>
    <row r="63" spans="2:18" ht="17.100000000000001" customHeight="1" x14ac:dyDescent="0.35">
      <c r="B63" s="497" t="s">
        <v>445</v>
      </c>
      <c r="C63" s="498"/>
      <c r="D63" s="498"/>
      <c r="E63" s="498"/>
      <c r="F63" s="498"/>
      <c r="G63" s="370" t="s">
        <v>446</v>
      </c>
      <c r="H63" s="546">
        <f>Sickerschacht_SIR!E61</f>
        <v>0</v>
      </c>
      <c r="I63" s="546">
        <f>H38*H34</f>
        <v>2.2999999999999998</v>
      </c>
      <c r="J63" s="413">
        <f>Sickerschacht_SIR!G61</f>
        <v>-0.34</v>
      </c>
      <c r="M63" s="404">
        <f>Sickerschacht_SIR!E61</f>
        <v>0</v>
      </c>
      <c r="N63" s="401">
        <f>Sickerschacht_SIR!E60</f>
        <v>0</v>
      </c>
      <c r="O63" t="str">
        <f>Sickerschacht_SIR!E59</f>
        <v>Sickerschacht</v>
      </c>
      <c r="R63" s="334"/>
    </row>
    <row r="64" spans="2:18" ht="17.100000000000001" customHeight="1" x14ac:dyDescent="0.25">
      <c r="B64" s="497" t="s">
        <v>504</v>
      </c>
      <c r="C64" s="498"/>
      <c r="D64" s="498"/>
      <c r="E64" s="498"/>
      <c r="F64" s="498"/>
      <c r="G64" s="499"/>
      <c r="H64" s="500">
        <f>$H$38</f>
        <v>1.1499999999999999</v>
      </c>
      <c r="I64" s="500"/>
      <c r="J64" s="412">
        <f>$H$38+$H$43*$H$44*($H$45/100)</f>
        <v>3.4</v>
      </c>
      <c r="M64" s="404">
        <f>Sickerschacht_SIR!G61</f>
        <v>-0.34</v>
      </c>
      <c r="N64" s="401">
        <f>Sickerschacht_SIR!G60</f>
        <v>0.16808599999999993</v>
      </c>
      <c r="O64" t="str">
        <f>Sickerschacht_SIR!G59</f>
        <v>Sickeranlage</v>
      </c>
      <c r="R64" s="334"/>
    </row>
    <row r="65" spans="2:22" ht="17.100000000000001" customHeight="1" thickBot="1" x14ac:dyDescent="0.4">
      <c r="B65" s="494" t="s">
        <v>447</v>
      </c>
      <c r="C65" s="495"/>
      <c r="D65" s="495"/>
      <c r="E65" s="495"/>
      <c r="F65" s="495"/>
      <c r="G65" s="414" t="s">
        <v>442</v>
      </c>
      <c r="H65" s="491">
        <f>H39/100</f>
        <v>0.78</v>
      </c>
      <c r="I65" s="492"/>
      <c r="J65" s="493"/>
      <c r="M65" s="404"/>
      <c r="N65" s="401"/>
      <c r="R65" s="334"/>
    </row>
    <row r="66" spans="2:22" ht="17.100000000000001" customHeight="1" thickBot="1" x14ac:dyDescent="0.3">
      <c r="B66" s="670" t="str">
        <f>IF(M63&gt;M64,"Sickerschacht maßgebend", "Sickeranlage inklusive Schotterkörper maßgebend")</f>
        <v>Sickerschacht maßgebend</v>
      </c>
      <c r="C66" s="671"/>
      <c r="D66" s="671"/>
      <c r="E66" s="671"/>
      <c r="F66" s="671"/>
      <c r="G66" s="671"/>
      <c r="H66" s="671"/>
      <c r="I66" s="671"/>
      <c r="J66" s="672"/>
      <c r="K66"/>
      <c r="Q66" s="334"/>
      <c r="R66" s="334"/>
    </row>
    <row r="67" spans="2:22" ht="17.100000000000001" customHeight="1" thickBot="1" x14ac:dyDescent="0.25">
      <c r="B67" s="538" t="str">
        <f>Sickerschacht_ASI!E63</f>
        <v>ACHTUNG! Gewählte Stauhöhe zu gering!</v>
      </c>
      <c r="C67" s="539"/>
      <c r="D67" s="539"/>
      <c r="E67" s="539"/>
      <c r="F67" s="539"/>
      <c r="G67" s="539"/>
      <c r="H67" s="539"/>
      <c r="I67" s="539"/>
      <c r="J67" s="540"/>
      <c r="K67"/>
      <c r="Q67" s="334"/>
      <c r="R67" s="334"/>
    </row>
    <row r="68" spans="2:22" ht="17.100000000000001" customHeight="1" thickBot="1" x14ac:dyDescent="0.3">
      <c r="B68" s="421" t="str">
        <f>IF(H68&lt;=1,"erforderlicher Regenwassersickerschacht:","erforderliche Regenwassersickerschächte:")</f>
        <v>erforderliche Regenwassersickerschächte:</v>
      </c>
      <c r="C68" s="422"/>
      <c r="D68" s="423"/>
      <c r="E68" s="424"/>
      <c r="F68" s="673"/>
      <c r="G68" s="673"/>
      <c r="H68" s="425">
        <f>+H34</f>
        <v>2</v>
      </c>
      <c r="I68" s="426"/>
      <c r="J68" s="427" t="str">
        <f>+H33</f>
        <v>SW-ASI-15-1,20</v>
      </c>
      <c r="K68"/>
      <c r="Q68" s="334"/>
      <c r="R68" s="334"/>
    </row>
    <row r="69" spans="2:22" ht="17.100000000000001" customHeight="1" x14ac:dyDescent="0.25">
      <c r="D69" s="346"/>
      <c r="F69" s="347"/>
      <c r="G69" s="347"/>
      <c r="H69" s="347"/>
      <c r="I69" s="347"/>
      <c r="J69" s="347"/>
      <c r="K69"/>
      <c r="Q69" s="334"/>
      <c r="R69" s="334"/>
    </row>
    <row r="70" spans="2:22" ht="17.100000000000001" customHeight="1" x14ac:dyDescent="0.25">
      <c r="D70" s="346"/>
      <c r="F70" s="347"/>
      <c r="H70" s="348"/>
      <c r="I70" s="349"/>
      <c r="J70" s="350"/>
      <c r="K70"/>
      <c r="Q70" s="334"/>
      <c r="R70" s="334"/>
    </row>
    <row r="71" spans="2:22" ht="17.100000000000001" customHeight="1" x14ac:dyDescent="0.25">
      <c r="D71" s="346"/>
      <c r="F71" s="347"/>
      <c r="H71" s="351"/>
      <c r="I71" s="347"/>
      <c r="J71" s="352"/>
      <c r="K71"/>
      <c r="Q71" s="334"/>
      <c r="R71" s="334"/>
    </row>
    <row r="72" spans="2:22" ht="17.100000000000001" customHeight="1" x14ac:dyDescent="0.25">
      <c r="D72" s="346"/>
      <c r="F72" s="347"/>
      <c r="H72" s="351"/>
      <c r="I72" s="347"/>
      <c r="J72" s="352"/>
      <c r="K72"/>
      <c r="Q72" s="334"/>
      <c r="R72" s="334"/>
    </row>
    <row r="73" spans="2:22" ht="17.100000000000001" customHeight="1" x14ac:dyDescent="0.25">
      <c r="B73" s="536" t="s">
        <v>334</v>
      </c>
      <c r="C73" s="536"/>
      <c r="D73" s="536"/>
      <c r="F73" s="347"/>
      <c r="H73" s="353"/>
      <c r="I73" s="354"/>
      <c r="J73" s="355"/>
      <c r="K73"/>
      <c r="Q73" s="334"/>
      <c r="R73" s="334"/>
    </row>
    <row r="74" spans="2:22" ht="17.100000000000001" customHeight="1" x14ac:dyDescent="0.25">
      <c r="B74" s="536" t="s">
        <v>335</v>
      </c>
      <c r="C74" s="536"/>
      <c r="D74" s="536"/>
      <c r="F74" s="347"/>
      <c r="H74" s="347"/>
      <c r="I74" s="335" t="s">
        <v>336</v>
      </c>
      <c r="J74" s="347"/>
      <c r="K74"/>
      <c r="Q74" s="334"/>
      <c r="R74" s="334"/>
    </row>
    <row r="75" spans="2:22" ht="17.100000000000001" customHeight="1" x14ac:dyDescent="0.25">
      <c r="D75" s="346"/>
      <c r="F75" s="347"/>
      <c r="G75" s="347"/>
      <c r="H75" s="347"/>
      <c r="I75" s="347"/>
      <c r="J75" s="347"/>
      <c r="K75"/>
      <c r="Q75" s="334"/>
      <c r="R75" s="334"/>
    </row>
    <row r="76" spans="2:22" ht="17.100000000000001" hidden="1" customHeight="1" x14ac:dyDescent="0.25">
      <c r="C76" s="405" t="s">
        <v>498</v>
      </c>
      <c r="D76" s="405" t="s">
        <v>494</v>
      </c>
      <c r="E76" s="405" t="s">
        <v>496</v>
      </c>
      <c r="F76" s="405" t="s">
        <v>499</v>
      </c>
      <c r="G76" s="405"/>
      <c r="H76" s="405" t="s">
        <v>497</v>
      </c>
      <c r="I76" s="405" t="s">
        <v>500</v>
      </c>
      <c r="J76" s="347"/>
      <c r="K76"/>
      <c r="P76" s="334"/>
      <c r="Q76" s="334"/>
      <c r="R76" s="334"/>
      <c r="S76" s="356"/>
      <c r="U76" s="335"/>
      <c r="V76" s="356"/>
    </row>
    <row r="77" spans="2:22" ht="17.100000000000001" hidden="1" customHeight="1" x14ac:dyDescent="0.2">
      <c r="B77" s="381" t="s">
        <v>376</v>
      </c>
      <c r="C77" s="405">
        <v>1.1499999999999999</v>
      </c>
      <c r="D77" s="405">
        <v>165</v>
      </c>
      <c r="E77" s="405">
        <v>87</v>
      </c>
      <c r="F77" s="405">
        <v>150</v>
      </c>
      <c r="G77" s="405"/>
      <c r="H77" s="405">
        <v>0.09</v>
      </c>
      <c r="I77" s="405">
        <f>D77-E77</f>
        <v>78</v>
      </c>
      <c r="J77"/>
      <c r="K77"/>
      <c r="P77" s="334"/>
      <c r="Q77" s="334"/>
      <c r="R77" s="334"/>
      <c r="S77" s="356"/>
      <c r="U77" s="335"/>
      <c r="V77" s="356"/>
    </row>
    <row r="78" spans="2:22" ht="17.100000000000001" hidden="1" customHeight="1" x14ac:dyDescent="0.2">
      <c r="B78" s="381" t="s">
        <v>377</v>
      </c>
      <c r="C78" s="405">
        <v>1.55</v>
      </c>
      <c r="D78" s="405">
        <v>190</v>
      </c>
      <c r="E78" s="405">
        <v>87</v>
      </c>
      <c r="F78" s="405">
        <v>150</v>
      </c>
      <c r="G78" s="405"/>
      <c r="H78" s="405">
        <v>0.09</v>
      </c>
      <c r="I78" s="405">
        <f t="shared" ref="I78:I111" si="0">D78-E78</f>
        <v>103</v>
      </c>
      <c r="J78"/>
      <c r="K78"/>
      <c r="P78" s="334"/>
      <c r="Q78" s="334"/>
      <c r="R78" s="334"/>
      <c r="S78" s="356"/>
      <c r="U78" s="335"/>
      <c r="V78" s="356"/>
    </row>
    <row r="79" spans="2:22" ht="17.100000000000001" hidden="1" customHeight="1" x14ac:dyDescent="0.2">
      <c r="B79" s="381" t="s">
        <v>378</v>
      </c>
      <c r="C79" s="405">
        <v>2.0099999999999998</v>
      </c>
      <c r="D79" s="405">
        <v>215</v>
      </c>
      <c r="E79" s="405">
        <v>87</v>
      </c>
      <c r="F79" s="405">
        <v>150</v>
      </c>
      <c r="G79" s="405"/>
      <c r="H79" s="405">
        <v>0.09</v>
      </c>
      <c r="I79" s="405">
        <f t="shared" si="0"/>
        <v>128</v>
      </c>
      <c r="J79"/>
      <c r="K79"/>
      <c r="P79" s="334"/>
      <c r="Q79" s="334"/>
      <c r="R79" s="334"/>
      <c r="S79" s="356"/>
      <c r="U79" s="335"/>
      <c r="V79" s="356"/>
    </row>
    <row r="80" spans="2:22" ht="17.100000000000001" hidden="1" customHeight="1" x14ac:dyDescent="0.2">
      <c r="B80" s="381" t="s">
        <v>379</v>
      </c>
      <c r="C80" s="405">
        <v>2.46</v>
      </c>
      <c r="D80" s="405">
        <v>240</v>
      </c>
      <c r="E80" s="405">
        <v>87</v>
      </c>
      <c r="F80" s="405">
        <v>150</v>
      </c>
      <c r="G80" s="405"/>
      <c r="H80" s="405">
        <v>0.09</v>
      </c>
      <c r="I80" s="405">
        <f t="shared" si="0"/>
        <v>153</v>
      </c>
      <c r="J80"/>
      <c r="K80"/>
      <c r="P80" s="334"/>
      <c r="Q80" s="334"/>
      <c r="R80" s="334"/>
      <c r="S80" s="356"/>
      <c r="U80" s="335"/>
      <c r="V80" s="356"/>
    </row>
    <row r="81" spans="2:22" ht="17.100000000000001" hidden="1" customHeight="1" x14ac:dyDescent="0.2">
      <c r="B81" s="381" t="s">
        <v>380</v>
      </c>
      <c r="C81" s="405">
        <v>2.9</v>
      </c>
      <c r="D81" s="405">
        <v>265</v>
      </c>
      <c r="E81" s="405">
        <v>87</v>
      </c>
      <c r="F81" s="405">
        <v>150</v>
      </c>
      <c r="G81" s="405"/>
      <c r="H81" s="405">
        <v>0.09</v>
      </c>
      <c r="I81" s="405">
        <f t="shared" si="0"/>
        <v>178</v>
      </c>
      <c r="J81"/>
      <c r="K81"/>
      <c r="P81" s="334"/>
      <c r="Q81" s="334"/>
      <c r="R81" s="334"/>
      <c r="S81" s="356"/>
      <c r="U81" s="335"/>
      <c r="V81" s="356"/>
    </row>
    <row r="82" spans="2:22" ht="17.100000000000001" hidden="1" customHeight="1" x14ac:dyDescent="0.2">
      <c r="B82" s="381" t="s">
        <v>381</v>
      </c>
      <c r="C82" s="405">
        <v>3.34</v>
      </c>
      <c r="D82" s="405">
        <v>290</v>
      </c>
      <c r="E82" s="405">
        <v>87</v>
      </c>
      <c r="F82" s="405">
        <v>150</v>
      </c>
      <c r="G82" s="405"/>
      <c r="H82" s="405">
        <v>0.09</v>
      </c>
      <c r="I82" s="405">
        <f t="shared" si="0"/>
        <v>203</v>
      </c>
      <c r="J82"/>
      <c r="K82"/>
      <c r="P82" s="334"/>
      <c r="Q82" s="334"/>
      <c r="R82" s="334"/>
      <c r="S82" s="356"/>
      <c r="U82" s="335"/>
      <c r="V82" s="356"/>
    </row>
    <row r="83" spans="2:22" ht="17.100000000000001" hidden="1" customHeight="1" x14ac:dyDescent="0.2">
      <c r="B83" s="381" t="s">
        <v>382</v>
      </c>
      <c r="C83" s="405">
        <v>3.8</v>
      </c>
      <c r="D83" s="405">
        <v>315</v>
      </c>
      <c r="E83" s="405">
        <v>87</v>
      </c>
      <c r="F83" s="405">
        <v>150</v>
      </c>
      <c r="G83" s="405"/>
      <c r="H83" s="405">
        <v>0.09</v>
      </c>
      <c r="I83" s="405">
        <f t="shared" si="0"/>
        <v>228</v>
      </c>
      <c r="J83"/>
      <c r="K83"/>
      <c r="P83" s="334"/>
      <c r="Q83" s="334"/>
      <c r="R83" s="334"/>
      <c r="S83" s="356"/>
      <c r="U83" s="335"/>
      <c r="V83" s="356"/>
    </row>
    <row r="84" spans="2:22" ht="17.100000000000001" hidden="1" customHeight="1" x14ac:dyDescent="0.2">
      <c r="B84" s="381" t="s">
        <v>383</v>
      </c>
      <c r="C84" s="405">
        <v>4.68</v>
      </c>
      <c r="D84" s="405">
        <v>365</v>
      </c>
      <c r="E84" s="405">
        <v>87</v>
      </c>
      <c r="F84" s="405">
        <v>150</v>
      </c>
      <c r="G84" s="405"/>
      <c r="H84" s="405">
        <v>0.09</v>
      </c>
      <c r="I84" s="405">
        <f t="shared" si="0"/>
        <v>278</v>
      </c>
      <c r="J84"/>
      <c r="K84"/>
      <c r="P84" s="334"/>
      <c r="Q84" s="334"/>
      <c r="R84" s="334"/>
      <c r="S84" s="356"/>
      <c r="U84" s="335"/>
      <c r="V84" s="356"/>
    </row>
    <row r="85" spans="2:22" ht="17.100000000000001" hidden="1" customHeight="1" x14ac:dyDescent="0.2">
      <c r="B85" s="381" t="s">
        <v>384</v>
      </c>
      <c r="C85" s="405">
        <v>1.95</v>
      </c>
      <c r="D85" s="405">
        <v>185</v>
      </c>
      <c r="E85" s="405">
        <v>108</v>
      </c>
      <c r="F85" s="405">
        <v>200</v>
      </c>
      <c r="G85" s="405"/>
      <c r="H85" s="405">
        <v>0.09</v>
      </c>
      <c r="I85" s="405">
        <f t="shared" si="0"/>
        <v>77</v>
      </c>
      <c r="J85"/>
      <c r="K85"/>
      <c r="P85" s="334"/>
      <c r="Q85" s="334"/>
      <c r="R85" s="334"/>
      <c r="S85" s="356"/>
      <c r="U85" s="335"/>
      <c r="V85" s="356"/>
    </row>
    <row r="86" spans="2:22" ht="17.100000000000001" hidden="1" customHeight="1" x14ac:dyDescent="0.2">
      <c r="B86" s="381" t="s">
        <v>385</v>
      </c>
      <c r="C86" s="405">
        <v>2.73</v>
      </c>
      <c r="D86" s="405">
        <v>210</v>
      </c>
      <c r="E86" s="405">
        <v>108</v>
      </c>
      <c r="F86" s="405">
        <v>200</v>
      </c>
      <c r="G86" s="405"/>
      <c r="H86" s="405">
        <v>0.09</v>
      </c>
      <c r="I86" s="405">
        <f t="shared" si="0"/>
        <v>102</v>
      </c>
      <c r="J86"/>
      <c r="K86"/>
      <c r="P86" s="334"/>
      <c r="Q86" s="334"/>
      <c r="R86" s="334"/>
      <c r="S86" s="356"/>
      <c r="U86" s="335"/>
      <c r="V86" s="356"/>
    </row>
    <row r="87" spans="2:22" ht="17.100000000000001" hidden="1" customHeight="1" x14ac:dyDescent="0.2">
      <c r="B87" s="381" t="s">
        <v>386</v>
      </c>
      <c r="C87" s="405">
        <v>3.52</v>
      </c>
      <c r="D87" s="405">
        <v>235</v>
      </c>
      <c r="E87" s="405">
        <v>108</v>
      </c>
      <c r="F87" s="405">
        <v>200</v>
      </c>
      <c r="G87" s="405"/>
      <c r="H87" s="405">
        <v>0.09</v>
      </c>
      <c r="I87" s="405">
        <f t="shared" si="0"/>
        <v>127</v>
      </c>
      <c r="J87"/>
      <c r="K87"/>
      <c r="P87" s="334"/>
      <c r="Q87" s="334"/>
      <c r="R87" s="334"/>
      <c r="S87" s="356"/>
      <c r="U87" s="335"/>
      <c r="V87" s="356"/>
    </row>
    <row r="88" spans="2:22" ht="17.100000000000001" hidden="1" customHeight="1" x14ac:dyDescent="0.2">
      <c r="B88" s="381" t="s">
        <v>387</v>
      </c>
      <c r="C88" s="405">
        <v>4.33</v>
      </c>
      <c r="D88" s="405">
        <v>260</v>
      </c>
      <c r="E88" s="405">
        <v>108</v>
      </c>
      <c r="F88" s="405">
        <v>200</v>
      </c>
      <c r="G88" s="405"/>
      <c r="H88" s="405">
        <v>0.09</v>
      </c>
      <c r="I88" s="405">
        <f t="shared" si="0"/>
        <v>152</v>
      </c>
      <c r="J88"/>
      <c r="K88"/>
      <c r="P88" s="334"/>
      <c r="Q88" s="334"/>
      <c r="R88" s="334"/>
      <c r="S88" s="356"/>
      <c r="U88" s="335"/>
      <c r="V88" s="356"/>
    </row>
    <row r="89" spans="2:22" ht="17.100000000000001" hidden="1" customHeight="1" x14ac:dyDescent="0.2">
      <c r="B89" s="381" t="s">
        <v>388</v>
      </c>
      <c r="C89" s="405">
        <v>5.12</v>
      </c>
      <c r="D89" s="405">
        <v>285</v>
      </c>
      <c r="E89" s="405">
        <v>108</v>
      </c>
      <c r="F89" s="405">
        <v>200</v>
      </c>
      <c r="G89" s="405"/>
      <c r="H89" s="405">
        <v>0.09</v>
      </c>
      <c r="I89" s="405">
        <f t="shared" si="0"/>
        <v>177</v>
      </c>
      <c r="J89"/>
      <c r="K89"/>
      <c r="P89" s="334"/>
      <c r="Q89" s="334"/>
      <c r="R89" s="334"/>
      <c r="S89" s="356"/>
      <c r="U89" s="335"/>
      <c r="V89" s="356"/>
    </row>
    <row r="90" spans="2:22" ht="17.100000000000001" hidden="1" customHeight="1" x14ac:dyDescent="0.2">
      <c r="B90" s="381" t="s">
        <v>389</v>
      </c>
      <c r="C90" s="405">
        <v>5.9</v>
      </c>
      <c r="D90" s="405">
        <v>310</v>
      </c>
      <c r="E90" s="405">
        <v>108</v>
      </c>
      <c r="F90" s="405">
        <v>200</v>
      </c>
      <c r="G90" s="405"/>
      <c r="H90" s="405">
        <v>0.09</v>
      </c>
      <c r="I90" s="405">
        <f t="shared" si="0"/>
        <v>202</v>
      </c>
      <c r="J90"/>
      <c r="K90"/>
      <c r="P90" s="334"/>
      <c r="Q90" s="334"/>
      <c r="R90" s="334"/>
      <c r="S90" s="356"/>
      <c r="U90" s="335"/>
      <c r="V90" s="356"/>
    </row>
    <row r="91" spans="2:22" ht="17.100000000000001" hidden="1" customHeight="1" x14ac:dyDescent="0.2">
      <c r="B91" s="381" t="s">
        <v>390</v>
      </c>
      <c r="C91" s="405">
        <v>6.72</v>
      </c>
      <c r="D91" s="405">
        <v>335</v>
      </c>
      <c r="E91" s="405">
        <v>108</v>
      </c>
      <c r="F91" s="405">
        <v>200</v>
      </c>
      <c r="G91" s="405"/>
      <c r="H91" s="405">
        <v>0.09</v>
      </c>
      <c r="I91" s="405">
        <f t="shared" si="0"/>
        <v>227</v>
      </c>
      <c r="J91"/>
      <c r="K91"/>
      <c r="P91" s="334"/>
      <c r="Q91" s="334"/>
      <c r="R91" s="334"/>
      <c r="S91" s="356"/>
      <c r="U91" s="335"/>
      <c r="V91" s="356"/>
    </row>
    <row r="92" spans="2:22" ht="17.100000000000001" hidden="1" customHeight="1" x14ac:dyDescent="0.2">
      <c r="B92" s="381" t="s">
        <v>391</v>
      </c>
      <c r="C92" s="405">
        <v>7.5</v>
      </c>
      <c r="D92" s="405">
        <v>360</v>
      </c>
      <c r="E92" s="405">
        <v>108</v>
      </c>
      <c r="F92" s="405">
        <v>200</v>
      </c>
      <c r="G92" s="405"/>
      <c r="H92" s="405">
        <v>0.09</v>
      </c>
      <c r="I92" s="405">
        <f t="shared" si="0"/>
        <v>252</v>
      </c>
      <c r="J92"/>
      <c r="K92"/>
      <c r="P92" s="334"/>
      <c r="Q92" s="334"/>
      <c r="R92" s="334"/>
      <c r="S92" s="356"/>
      <c r="U92" s="335"/>
      <c r="V92" s="356"/>
    </row>
    <row r="93" spans="2:22" ht="17.100000000000001" hidden="1" customHeight="1" x14ac:dyDescent="0.2">
      <c r="B93" s="381" t="s">
        <v>392</v>
      </c>
      <c r="C93" s="405">
        <v>8.2899999999999991</v>
      </c>
      <c r="D93" s="405">
        <v>385</v>
      </c>
      <c r="E93" s="405">
        <v>108</v>
      </c>
      <c r="F93" s="405">
        <v>200</v>
      </c>
      <c r="G93" s="405"/>
      <c r="H93" s="405">
        <v>0.09</v>
      </c>
      <c r="I93" s="405">
        <f t="shared" si="0"/>
        <v>277</v>
      </c>
      <c r="J93"/>
      <c r="K93"/>
      <c r="P93" s="334"/>
      <c r="Q93" s="334"/>
      <c r="R93" s="334"/>
      <c r="S93" s="356"/>
      <c r="U93" s="335"/>
      <c r="V93" s="356"/>
    </row>
    <row r="94" spans="2:22" ht="17.100000000000001" hidden="1" customHeight="1" x14ac:dyDescent="0.2">
      <c r="B94" s="381" t="s">
        <v>393</v>
      </c>
      <c r="C94" s="405">
        <v>4.97</v>
      </c>
      <c r="D94" s="405">
        <v>210</v>
      </c>
      <c r="E94" s="405">
        <v>90</v>
      </c>
      <c r="F94" s="405">
        <v>250</v>
      </c>
      <c r="G94" s="405"/>
      <c r="H94" s="405">
        <v>0.1</v>
      </c>
      <c r="I94" s="405">
        <f t="shared" si="0"/>
        <v>120</v>
      </c>
      <c r="J94"/>
      <c r="K94"/>
      <c r="P94" s="334"/>
      <c r="Q94" s="334"/>
      <c r="R94" s="334"/>
      <c r="S94" s="356"/>
      <c r="U94" s="335"/>
      <c r="V94" s="356"/>
    </row>
    <row r="95" spans="2:22" ht="17.100000000000001" hidden="1" customHeight="1" x14ac:dyDescent="0.2">
      <c r="B95" s="381" t="s">
        <v>394</v>
      </c>
      <c r="C95" s="405">
        <v>6.19</v>
      </c>
      <c r="D95" s="405">
        <v>235</v>
      </c>
      <c r="E95" s="405">
        <v>90</v>
      </c>
      <c r="F95" s="405">
        <v>250</v>
      </c>
      <c r="G95" s="405"/>
      <c r="H95" s="405">
        <v>0.1</v>
      </c>
      <c r="I95" s="405">
        <f t="shared" si="0"/>
        <v>145</v>
      </c>
      <c r="J95"/>
      <c r="K95"/>
      <c r="P95" s="334"/>
      <c r="Q95" s="334"/>
      <c r="R95" s="334"/>
      <c r="S95" s="356"/>
      <c r="U95" s="335"/>
      <c r="V95" s="356"/>
    </row>
    <row r="96" spans="2:22" ht="17.100000000000001" hidden="1" customHeight="1" x14ac:dyDescent="0.2">
      <c r="B96" s="381" t="s">
        <v>395</v>
      </c>
      <c r="C96" s="405">
        <v>7.42</v>
      </c>
      <c r="D96" s="405">
        <v>260</v>
      </c>
      <c r="E96" s="405">
        <v>90</v>
      </c>
      <c r="F96" s="405">
        <v>250</v>
      </c>
      <c r="G96" s="405"/>
      <c r="H96" s="405">
        <v>0.1</v>
      </c>
      <c r="I96" s="405">
        <f t="shared" si="0"/>
        <v>170</v>
      </c>
      <c r="J96"/>
      <c r="K96"/>
      <c r="P96" s="334"/>
      <c r="Q96" s="334"/>
      <c r="R96" s="334"/>
      <c r="S96" s="356"/>
      <c r="U96" s="335"/>
      <c r="V96" s="356"/>
    </row>
    <row r="97" spans="2:22" ht="17.100000000000001" hidden="1" customHeight="1" x14ac:dyDescent="0.2">
      <c r="B97" s="381" t="s">
        <v>396</v>
      </c>
      <c r="C97" s="405">
        <v>8.69</v>
      </c>
      <c r="D97" s="405">
        <v>285</v>
      </c>
      <c r="E97" s="405">
        <v>90</v>
      </c>
      <c r="F97" s="405">
        <v>250</v>
      </c>
      <c r="G97" s="405"/>
      <c r="H97" s="405">
        <v>0.1</v>
      </c>
      <c r="I97" s="405">
        <f t="shared" si="0"/>
        <v>195</v>
      </c>
      <c r="J97"/>
      <c r="K97"/>
      <c r="P97" s="334"/>
      <c r="Q97" s="334"/>
      <c r="R97" s="334"/>
      <c r="S97" s="356"/>
      <c r="U97" s="335"/>
      <c r="V97" s="356"/>
    </row>
    <row r="98" spans="2:22" ht="17.100000000000001" hidden="1" customHeight="1" x14ac:dyDescent="0.2">
      <c r="B98" s="381" t="s">
        <v>397</v>
      </c>
      <c r="C98" s="405">
        <v>9.92</v>
      </c>
      <c r="D98" s="405">
        <v>310</v>
      </c>
      <c r="E98" s="405">
        <v>90</v>
      </c>
      <c r="F98" s="405">
        <v>250</v>
      </c>
      <c r="G98" s="405"/>
      <c r="H98" s="405">
        <v>0.1</v>
      </c>
      <c r="I98" s="405">
        <f t="shared" si="0"/>
        <v>220</v>
      </c>
      <c r="J98"/>
      <c r="K98"/>
      <c r="P98" s="334"/>
      <c r="Q98" s="334"/>
      <c r="R98" s="334"/>
      <c r="S98" s="356"/>
      <c r="U98" s="335"/>
      <c r="V98" s="356"/>
    </row>
    <row r="99" spans="2:22" ht="17.100000000000001" hidden="1" customHeight="1" x14ac:dyDescent="0.2">
      <c r="B99" s="381" t="s">
        <v>398</v>
      </c>
      <c r="C99" s="405">
        <v>11.15</v>
      </c>
      <c r="D99" s="405">
        <v>335</v>
      </c>
      <c r="E99" s="405">
        <v>90</v>
      </c>
      <c r="F99" s="405">
        <v>250</v>
      </c>
      <c r="G99" s="405"/>
      <c r="H99" s="405">
        <v>0.1</v>
      </c>
      <c r="I99" s="405">
        <f t="shared" si="0"/>
        <v>245</v>
      </c>
      <c r="J99"/>
      <c r="K99"/>
      <c r="P99" s="334"/>
      <c r="Q99" s="334"/>
      <c r="R99" s="334"/>
      <c r="S99" s="356"/>
      <c r="U99" s="335"/>
      <c r="V99" s="356"/>
    </row>
    <row r="100" spans="2:22" ht="17.100000000000001" hidden="1" customHeight="1" x14ac:dyDescent="0.2">
      <c r="B100" s="381" t="s">
        <v>399</v>
      </c>
      <c r="C100" s="405">
        <v>12.37</v>
      </c>
      <c r="D100" s="405">
        <v>360</v>
      </c>
      <c r="E100" s="405">
        <v>90</v>
      </c>
      <c r="F100" s="405">
        <v>250</v>
      </c>
      <c r="G100" s="405"/>
      <c r="H100" s="405">
        <v>0.1</v>
      </c>
      <c r="I100" s="405">
        <f t="shared" si="0"/>
        <v>270</v>
      </c>
      <c r="J100"/>
      <c r="K100"/>
      <c r="P100" s="334"/>
      <c r="Q100" s="334"/>
      <c r="R100" s="334"/>
      <c r="S100" s="356"/>
      <c r="U100" s="335"/>
      <c r="V100" s="356"/>
    </row>
    <row r="101" spans="2:22" ht="17.100000000000001" hidden="1" customHeight="1" x14ac:dyDescent="0.2">
      <c r="B101" s="381" t="s">
        <v>400</v>
      </c>
      <c r="C101" s="405">
        <v>13.65</v>
      </c>
      <c r="D101" s="405">
        <v>385</v>
      </c>
      <c r="E101" s="405">
        <v>90</v>
      </c>
      <c r="F101" s="405">
        <v>250</v>
      </c>
      <c r="G101" s="405"/>
      <c r="H101" s="405">
        <v>0.1</v>
      </c>
      <c r="I101" s="405">
        <f t="shared" si="0"/>
        <v>295</v>
      </c>
      <c r="J101"/>
      <c r="K101"/>
      <c r="P101" s="334"/>
      <c r="Q101" s="334"/>
      <c r="R101" s="334"/>
      <c r="S101" s="356"/>
      <c r="U101" s="335"/>
      <c r="V101" s="356"/>
    </row>
    <row r="102" spans="2:22" ht="17.100000000000001" hidden="1" customHeight="1" x14ac:dyDescent="0.2">
      <c r="B102" s="381" t="s">
        <v>401</v>
      </c>
      <c r="C102" s="405">
        <v>14.88</v>
      </c>
      <c r="D102" s="405">
        <v>410</v>
      </c>
      <c r="E102" s="405">
        <v>90</v>
      </c>
      <c r="F102" s="405">
        <v>250</v>
      </c>
      <c r="G102" s="405"/>
      <c r="H102" s="405">
        <v>0.1</v>
      </c>
      <c r="I102" s="405">
        <f t="shared" si="0"/>
        <v>320</v>
      </c>
      <c r="J102"/>
      <c r="K102"/>
      <c r="P102" s="334"/>
      <c r="Q102" s="334"/>
      <c r="R102" s="334"/>
      <c r="S102" s="356"/>
      <c r="U102" s="335"/>
      <c r="V102" s="356"/>
    </row>
    <row r="103" spans="2:22" ht="17.100000000000001" hidden="1" customHeight="1" x14ac:dyDescent="0.2">
      <c r="B103" s="381" t="s">
        <v>402</v>
      </c>
      <c r="C103" s="405">
        <v>16.100000000000001</v>
      </c>
      <c r="D103" s="405">
        <v>435</v>
      </c>
      <c r="E103" s="405">
        <v>90</v>
      </c>
      <c r="F103" s="405">
        <v>250</v>
      </c>
      <c r="G103" s="405"/>
      <c r="H103" s="405">
        <v>0.1</v>
      </c>
      <c r="I103" s="405">
        <f t="shared" si="0"/>
        <v>345</v>
      </c>
      <c r="J103"/>
      <c r="K103"/>
      <c r="P103" s="334"/>
      <c r="Q103" s="334"/>
      <c r="R103" s="334"/>
      <c r="S103" s="356"/>
      <c r="U103" s="335"/>
      <c r="V103" s="356"/>
    </row>
    <row r="104" spans="2:22" ht="17.100000000000001" hidden="1" customHeight="1" x14ac:dyDescent="0.2">
      <c r="B104" s="381" t="s">
        <v>403</v>
      </c>
      <c r="C104" s="405">
        <v>10.16</v>
      </c>
      <c r="D104" s="405">
        <v>260</v>
      </c>
      <c r="E104" s="405">
        <v>90</v>
      </c>
      <c r="F104" s="405">
        <v>300</v>
      </c>
      <c r="G104" s="405"/>
      <c r="H104" s="405">
        <v>0.1</v>
      </c>
      <c r="I104" s="405">
        <f t="shared" si="0"/>
        <v>170</v>
      </c>
      <c r="J104"/>
      <c r="K104"/>
      <c r="P104" s="334"/>
      <c r="Q104" s="334"/>
      <c r="R104" s="334"/>
      <c r="S104" s="356"/>
      <c r="U104" s="335"/>
      <c r="V104" s="356"/>
    </row>
    <row r="105" spans="2:22" ht="17.100000000000001" hidden="1" customHeight="1" x14ac:dyDescent="0.2">
      <c r="B105" s="381" t="s">
        <v>404</v>
      </c>
      <c r="C105" s="405">
        <v>12</v>
      </c>
      <c r="D105" s="405">
        <v>285</v>
      </c>
      <c r="E105" s="405">
        <v>90</v>
      </c>
      <c r="F105" s="405">
        <v>300</v>
      </c>
      <c r="G105" s="405"/>
      <c r="H105" s="405">
        <v>0.1</v>
      </c>
      <c r="I105" s="405">
        <f t="shared" si="0"/>
        <v>195</v>
      </c>
      <c r="J105"/>
      <c r="P105" s="334"/>
      <c r="Q105" s="334"/>
      <c r="R105" s="334"/>
      <c r="S105" s="356"/>
      <c r="U105" s="335"/>
      <c r="V105" s="356"/>
    </row>
    <row r="106" spans="2:22" ht="17.100000000000001" hidden="1" customHeight="1" x14ac:dyDescent="0.2">
      <c r="B106" s="381" t="s">
        <v>405</v>
      </c>
      <c r="C106" s="405">
        <v>13.77</v>
      </c>
      <c r="D106" s="405">
        <v>310</v>
      </c>
      <c r="E106" s="405">
        <v>90</v>
      </c>
      <c r="F106" s="405">
        <v>300</v>
      </c>
      <c r="G106" s="405"/>
      <c r="H106" s="405">
        <v>0.1</v>
      </c>
      <c r="I106" s="405">
        <f t="shared" si="0"/>
        <v>220</v>
      </c>
      <c r="J106"/>
      <c r="P106" s="334"/>
      <c r="Q106" s="334"/>
      <c r="R106" s="334"/>
      <c r="S106" s="356"/>
      <c r="U106" s="335"/>
      <c r="V106" s="356"/>
    </row>
    <row r="107" spans="2:22" ht="17.100000000000001" hidden="1" customHeight="1" x14ac:dyDescent="0.2">
      <c r="B107" s="381" t="s">
        <v>406</v>
      </c>
      <c r="C107" s="405">
        <v>15.53</v>
      </c>
      <c r="D107" s="405">
        <v>335</v>
      </c>
      <c r="E107" s="405">
        <v>90</v>
      </c>
      <c r="F107" s="405">
        <v>300</v>
      </c>
      <c r="G107" s="405"/>
      <c r="H107" s="405">
        <v>0.1</v>
      </c>
      <c r="I107" s="405">
        <f t="shared" si="0"/>
        <v>245</v>
      </c>
      <c r="J107"/>
      <c r="P107" s="334"/>
      <c r="Q107" s="334"/>
      <c r="R107" s="334"/>
      <c r="S107" s="356"/>
      <c r="U107" s="335"/>
      <c r="V107" s="356"/>
    </row>
    <row r="108" spans="2:22" ht="17.100000000000001" hidden="1" customHeight="1" x14ac:dyDescent="0.2">
      <c r="B108" s="381" t="s">
        <v>407</v>
      </c>
      <c r="C108" s="405">
        <v>17.37</v>
      </c>
      <c r="D108" s="405">
        <v>360</v>
      </c>
      <c r="E108" s="405">
        <v>90</v>
      </c>
      <c r="F108" s="405">
        <v>300</v>
      </c>
      <c r="G108" s="405"/>
      <c r="H108" s="405">
        <v>0.1</v>
      </c>
      <c r="I108" s="405">
        <f t="shared" si="0"/>
        <v>270</v>
      </c>
      <c r="J108"/>
      <c r="P108" s="334"/>
      <c r="Q108" s="334"/>
      <c r="R108" s="334"/>
      <c r="S108" s="356"/>
      <c r="U108" s="335"/>
      <c r="V108" s="356"/>
    </row>
    <row r="109" spans="2:22" ht="17.100000000000001" hidden="1" customHeight="1" x14ac:dyDescent="0.2">
      <c r="B109" s="381" t="s">
        <v>408</v>
      </c>
      <c r="C109" s="405">
        <v>19.149999999999999</v>
      </c>
      <c r="D109" s="405">
        <v>385</v>
      </c>
      <c r="E109" s="405">
        <v>90</v>
      </c>
      <c r="F109" s="405">
        <v>300</v>
      </c>
      <c r="G109" s="405"/>
      <c r="H109" s="405">
        <v>0.1</v>
      </c>
      <c r="I109" s="405">
        <f t="shared" si="0"/>
        <v>295</v>
      </c>
      <c r="J109"/>
      <c r="P109" s="334"/>
      <c r="Q109" s="334"/>
      <c r="R109" s="334"/>
      <c r="S109" s="356"/>
      <c r="U109" s="335"/>
      <c r="V109" s="356"/>
    </row>
    <row r="110" spans="2:22" ht="17.100000000000001" hidden="1" customHeight="1" x14ac:dyDescent="0.2">
      <c r="B110" s="381" t="s">
        <v>409</v>
      </c>
      <c r="C110" s="405">
        <v>20.91</v>
      </c>
      <c r="D110" s="405">
        <v>410</v>
      </c>
      <c r="E110" s="405">
        <v>90</v>
      </c>
      <c r="F110" s="405">
        <v>300</v>
      </c>
      <c r="G110" s="405"/>
      <c r="H110" s="405">
        <v>0.1</v>
      </c>
      <c r="I110" s="405">
        <f t="shared" si="0"/>
        <v>320</v>
      </c>
      <c r="J110"/>
      <c r="P110" s="334"/>
      <c r="Q110" s="334"/>
      <c r="R110" s="334"/>
      <c r="S110" s="356"/>
      <c r="U110" s="335"/>
      <c r="V110" s="356"/>
    </row>
    <row r="111" spans="2:22" ht="17.100000000000001" hidden="1" customHeight="1" x14ac:dyDescent="0.2">
      <c r="B111" s="381" t="s">
        <v>410</v>
      </c>
      <c r="C111" s="405">
        <v>24.52</v>
      </c>
      <c r="D111" s="405">
        <v>460</v>
      </c>
      <c r="E111" s="405">
        <v>90</v>
      </c>
      <c r="F111" s="405">
        <v>300</v>
      </c>
      <c r="G111" s="405"/>
      <c r="H111" s="405">
        <v>0.1</v>
      </c>
      <c r="I111" s="405">
        <f t="shared" si="0"/>
        <v>370</v>
      </c>
      <c r="J111"/>
    </row>
    <row r="112" spans="2:22" ht="17.100000000000001" customHeight="1" x14ac:dyDescent="0.25">
      <c r="B112" s="382"/>
      <c r="C112" s="383"/>
      <c r="D112" s="384"/>
      <c r="E112" s="384"/>
    </row>
  </sheetData>
  <mergeCells count="92">
    <mergeCell ref="B64:G64"/>
    <mergeCell ref="H64:I64"/>
    <mergeCell ref="B2:H5"/>
    <mergeCell ref="B6:H7"/>
    <mergeCell ref="C8:J8"/>
    <mergeCell ref="B10:J12"/>
    <mergeCell ref="B14:D14"/>
    <mergeCell ref="B30:J30"/>
    <mergeCell ref="B41:J41"/>
    <mergeCell ref="B46:J46"/>
    <mergeCell ref="B59:J59"/>
    <mergeCell ref="B33:F33"/>
    <mergeCell ref="H33:J33"/>
    <mergeCell ref="B34:F34"/>
    <mergeCell ref="H34:J34"/>
    <mergeCell ref="H35:J35"/>
    <mergeCell ref="E14:F14"/>
    <mergeCell ref="G14:H14"/>
    <mergeCell ref="I14:J14"/>
    <mergeCell ref="B9:J9"/>
    <mergeCell ref="B15:D15"/>
    <mergeCell ref="E15:F15"/>
    <mergeCell ref="G15:H15"/>
    <mergeCell ref="I15:J15"/>
    <mergeCell ref="B16:D16"/>
    <mergeCell ref="E16:F16"/>
    <mergeCell ref="G16:H16"/>
    <mergeCell ref="I16:J16"/>
    <mergeCell ref="B17:D17"/>
    <mergeCell ref="E17:F17"/>
    <mergeCell ref="G17:H17"/>
    <mergeCell ref="I17:J17"/>
    <mergeCell ref="B18:D18"/>
    <mergeCell ref="E18:F18"/>
    <mergeCell ref="G18:H18"/>
    <mergeCell ref="I18:J18"/>
    <mergeCell ref="B19:D19"/>
    <mergeCell ref="E19:F19"/>
    <mergeCell ref="G19:H19"/>
    <mergeCell ref="I19:J19"/>
    <mergeCell ref="D23:G23"/>
    <mergeCell ref="B35:F35"/>
    <mergeCell ref="I20:J20"/>
    <mergeCell ref="B22:J22"/>
    <mergeCell ref="B21:J21"/>
    <mergeCell ref="I23:J23"/>
    <mergeCell ref="I24:J24"/>
    <mergeCell ref="B26:F26"/>
    <mergeCell ref="B27:J28"/>
    <mergeCell ref="B38:F38"/>
    <mergeCell ref="H38:J38"/>
    <mergeCell ref="B29:I29"/>
    <mergeCell ref="B25:J25"/>
    <mergeCell ref="H36:J36"/>
    <mergeCell ref="B37:F37"/>
    <mergeCell ref="H37:J37"/>
    <mergeCell ref="B36:F36"/>
    <mergeCell ref="B39:F39"/>
    <mergeCell ref="H39:J39"/>
    <mergeCell ref="B40:F40"/>
    <mergeCell ref="H40:J40"/>
    <mergeCell ref="B43:F43"/>
    <mergeCell ref="H43:J43"/>
    <mergeCell ref="B58:G58"/>
    <mergeCell ref="B47:J47"/>
    <mergeCell ref="B48:G48"/>
    <mergeCell ref="B49:G49"/>
    <mergeCell ref="B50:G50"/>
    <mergeCell ref="B51:G51"/>
    <mergeCell ref="B57:G57"/>
    <mergeCell ref="B53:G53"/>
    <mergeCell ref="B54:G54"/>
    <mergeCell ref="B55:G55"/>
    <mergeCell ref="B56:G56"/>
    <mergeCell ref="B44:F44"/>
    <mergeCell ref="H44:J44"/>
    <mergeCell ref="B45:G45"/>
    <mergeCell ref="H45:J45"/>
    <mergeCell ref="B52:G52"/>
    <mergeCell ref="B60:J60"/>
    <mergeCell ref="H61:I61"/>
    <mergeCell ref="B62:G62"/>
    <mergeCell ref="H62:I62"/>
    <mergeCell ref="B63:F63"/>
    <mergeCell ref="H63:I63"/>
    <mergeCell ref="B74:D74"/>
    <mergeCell ref="B65:F65"/>
    <mergeCell ref="H65:J65"/>
    <mergeCell ref="B66:J66"/>
    <mergeCell ref="B67:J67"/>
    <mergeCell ref="F68:G68"/>
    <mergeCell ref="B73:D73"/>
  </mergeCells>
  <conditionalFormatting sqref="B67">
    <cfRule type="containsText" dxfId="15" priority="1" stopIfTrue="1" operator="containsText" text="ACHTUNG! Gewählte Stauhöhe zu gering!">
      <formula>NOT(ISERROR(SEARCH("ACHTUNG! Gewählte Stauhöhe zu gering!",B67)))</formula>
    </cfRule>
    <cfRule type="containsText" dxfId="14" priority="2" stopIfTrue="1" operator="containsText" text="Stauhöhe OK.">
      <formula>NOT(ISERROR(SEARCH("Stauhöhe OK.",B67)))</formula>
    </cfRule>
  </conditionalFormatting>
  <dataValidations count="7">
    <dataValidation allowBlank="1" showInputMessage="1" showErrorMessage="1" promptTitle="Eingabe Stückzahl SIR" sqref="H44:J44" xr:uid="{00000000-0002-0000-0200-000000000000}"/>
    <dataValidation type="list" allowBlank="1" showInputMessage="1" showErrorMessage="1" sqref="J49" xr:uid="{00000000-0002-0000-0200-000001000000}">
      <formula1>$P$23:$P$25</formula1>
    </dataValidation>
    <dataValidation type="custom" allowBlank="1" showInputMessage="1" showErrorMessage="1" sqref="J56 H45" xr:uid="{00000000-0002-0000-0200-000002000000}">
      <formula1>AND(H45&gt;=15,H45&lt;=30)</formula1>
    </dataValidation>
    <dataValidation type="list" allowBlank="1" showInputMessage="1" showErrorMessage="1" promptTitle="Eingabe Sickerschachtty" sqref="H33:J33" xr:uid="{00000000-0002-0000-0200-000003000000}">
      <formula1>$B$77:$B$111</formula1>
    </dataValidation>
    <dataValidation type="decimal" allowBlank="1" showInputMessage="1" showErrorMessage="1" promptTitle="Eingabe der Größe der Teilfläche" prompt="Bitte geben Sie die Fläche der beregneten Teilfläche ein!" sqref="E15:F19" xr:uid="{00000000-0002-0000-0200-000004000000}">
      <formula1>0</formula1>
      <formula2>9999999999999990000</formula2>
    </dataValidation>
    <dataValidation allowBlank="1" showInputMessage="1" showErrorMessage="1" prompt="Bitte geben Sie die Bezeichnung der beregneten Teilfläche ein!" sqref="B14:D14" xr:uid="{00000000-0002-0000-0200-000005000000}"/>
    <dataValidation allowBlank="1" showInputMessage="1" showErrorMessage="1" promptTitle="Eingabe Bezeichnung Teilfläche" prompt="Bitte geben Sie die Bezeichnung der beregneten Teilfläche ein!" sqref="B15:D19" xr:uid="{00000000-0002-0000-0200-000006000000}"/>
  </dataValidations>
  <pageMargins left="0.7" right="0.7" top="0.78740157499999996" bottom="0.78740157499999996" header="0.3" footer="0.3"/>
  <pageSetup paperSize="9" orientation="portrait" verticalDpi="120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tabColor rgb="FFFFFF00"/>
  </sheetPr>
  <dimension ref="A1:N81"/>
  <sheetViews>
    <sheetView showGridLines="0" zoomScaleNormal="100" workbookViewId="0">
      <selection activeCell="B78" sqref="B78"/>
    </sheetView>
  </sheetViews>
  <sheetFormatPr baseColWidth="10" defaultRowHeight="12.75" x14ac:dyDescent="0.2"/>
  <cols>
    <col min="4" max="6" width="8.7109375" customWidth="1"/>
    <col min="7" max="7" width="8.140625" customWidth="1"/>
  </cols>
  <sheetData>
    <row r="1" spans="1:12" ht="12.75" customHeight="1" x14ac:dyDescent="0.2">
      <c r="A1" s="698" t="s">
        <v>203</v>
      </c>
      <c r="B1" s="699"/>
      <c r="C1" s="699"/>
      <c r="D1" s="699"/>
      <c r="E1" s="699"/>
      <c r="F1" s="699"/>
      <c r="G1" s="699"/>
      <c r="H1" s="699"/>
      <c r="I1" s="699"/>
      <c r="J1" s="699"/>
      <c r="K1" s="699"/>
      <c r="L1" s="700"/>
    </row>
    <row r="2" spans="1:12" ht="28.5" customHeight="1" x14ac:dyDescent="0.2">
      <c r="A2" s="701"/>
      <c r="B2" s="702"/>
      <c r="C2" s="702"/>
      <c r="D2" s="702"/>
      <c r="E2" s="702"/>
      <c r="F2" s="702"/>
      <c r="G2" s="702"/>
      <c r="H2" s="702"/>
      <c r="I2" s="702"/>
      <c r="J2" s="702"/>
      <c r="K2" s="702"/>
      <c r="L2" s="703"/>
    </row>
    <row r="3" spans="1:12" ht="12.75" customHeight="1" x14ac:dyDescent="0.2">
      <c r="A3" s="219"/>
      <c r="B3" s="219"/>
      <c r="C3" s="219"/>
      <c r="D3" s="219"/>
      <c r="E3" s="219"/>
      <c r="F3" s="219"/>
      <c r="G3" s="219"/>
      <c r="H3" s="219"/>
      <c r="I3" s="219"/>
      <c r="J3" s="219"/>
      <c r="K3" s="219"/>
      <c r="L3" s="219"/>
    </row>
    <row r="4" spans="1:12" s="22" customFormat="1" ht="13.5" thickBot="1" x14ac:dyDescent="0.25">
      <c r="A4" s="220"/>
      <c r="B4" s="221"/>
      <c r="C4" s="221"/>
      <c r="D4" s="221"/>
      <c r="E4" s="221"/>
      <c r="F4" s="221"/>
      <c r="G4" s="221"/>
      <c r="H4" s="221"/>
      <c r="I4" s="222"/>
      <c r="J4" s="222"/>
      <c r="K4" s="222"/>
      <c r="L4" s="223" t="s">
        <v>313</v>
      </c>
    </row>
    <row r="5" spans="1:12" s="125" customFormat="1" ht="18.75" customHeight="1" x14ac:dyDescent="0.2">
      <c r="A5" s="704" t="s">
        <v>292</v>
      </c>
      <c r="B5" s="705"/>
      <c r="C5" s="705"/>
      <c r="D5" s="705"/>
      <c r="E5" s="705"/>
      <c r="F5" s="705"/>
      <c r="G5" s="705"/>
      <c r="H5" s="705"/>
      <c r="I5" s="705"/>
      <c r="J5" s="705"/>
      <c r="K5" s="705"/>
      <c r="L5" s="706"/>
    </row>
    <row r="6" spans="1:12" s="22" customFormat="1" ht="85.5" customHeight="1" thickBot="1" x14ac:dyDescent="0.25">
      <c r="A6" s="710" t="s">
        <v>291</v>
      </c>
      <c r="B6" s="711"/>
      <c r="C6" s="711"/>
      <c r="D6" s="711"/>
      <c r="E6" s="711"/>
      <c r="F6" s="711"/>
      <c r="G6" s="711"/>
      <c r="H6" s="711"/>
      <c r="I6" s="711"/>
      <c r="J6" s="711"/>
      <c r="K6" s="711"/>
      <c r="L6" s="712"/>
    </row>
    <row r="7" spans="1:12" s="22" customFormat="1" ht="13.5" thickBot="1" x14ac:dyDescent="0.25">
      <c r="A7" s="713"/>
      <c r="B7" s="714"/>
      <c r="C7" s="714"/>
      <c r="D7" s="714"/>
      <c r="E7" s="714"/>
      <c r="F7" s="714"/>
      <c r="G7" s="714"/>
      <c r="H7" s="714"/>
      <c r="I7" s="714"/>
      <c r="J7" s="714"/>
      <c r="K7" s="714"/>
      <c r="L7" s="714"/>
    </row>
    <row r="8" spans="1:12" s="22" customFormat="1" ht="17.25" customHeight="1" x14ac:dyDescent="0.2">
      <c r="A8" s="704" t="s">
        <v>183</v>
      </c>
      <c r="B8" s="705"/>
      <c r="C8" s="705"/>
      <c r="D8" s="705"/>
      <c r="E8" s="705"/>
      <c r="F8" s="705"/>
      <c r="G8" s="705"/>
      <c r="H8" s="705"/>
      <c r="I8" s="705"/>
      <c r="J8" s="705"/>
      <c r="K8" s="705"/>
      <c r="L8" s="706"/>
    </row>
    <row r="9" spans="1:12" s="22" customFormat="1" x14ac:dyDescent="0.2">
      <c r="A9" s="721" t="s">
        <v>184</v>
      </c>
      <c r="B9" s="722"/>
      <c r="C9" s="722"/>
      <c r="D9" s="722"/>
      <c r="E9" s="722"/>
      <c r="F9" s="722"/>
      <c r="G9" s="722"/>
      <c r="H9" s="722"/>
      <c r="I9" s="722"/>
      <c r="J9" s="722"/>
      <c r="K9" s="722"/>
      <c r="L9" s="723"/>
    </row>
    <row r="10" spans="1:12" s="22" customFormat="1" x14ac:dyDescent="0.2">
      <c r="A10" s="220"/>
      <c r="B10" s="224"/>
      <c r="C10" s="224"/>
      <c r="D10" s="224"/>
      <c r="E10" s="224"/>
      <c r="F10" s="224"/>
      <c r="G10" s="224"/>
      <c r="H10" s="224"/>
      <c r="I10" s="224"/>
      <c r="J10" s="224"/>
      <c r="K10" s="224"/>
      <c r="L10" s="225"/>
    </row>
    <row r="11" spans="1:12" s="22" customFormat="1" x14ac:dyDescent="0.2">
      <c r="A11" s="715" t="s">
        <v>185</v>
      </c>
      <c r="B11" s="716"/>
      <c r="C11" s="716"/>
      <c r="D11" s="716"/>
      <c r="E11" s="716"/>
      <c r="F11" s="716"/>
      <c r="G11" s="716"/>
      <c r="H11" s="716"/>
      <c r="I11" s="716"/>
      <c r="J11" s="716"/>
      <c r="K11" s="716"/>
      <c r="L11" s="717"/>
    </row>
    <row r="12" spans="1:12" s="22" customFormat="1" ht="28.5" customHeight="1" x14ac:dyDescent="0.2">
      <c r="A12" s="707" t="s">
        <v>186</v>
      </c>
      <c r="B12" s="708"/>
      <c r="C12" s="708"/>
      <c r="D12" s="708"/>
      <c r="E12" s="708"/>
      <c r="F12" s="708"/>
      <c r="G12" s="708"/>
      <c r="H12" s="708"/>
      <c r="I12" s="708"/>
      <c r="J12" s="708"/>
      <c r="K12" s="708"/>
      <c r="L12" s="709"/>
    </row>
    <row r="13" spans="1:12" s="22" customFormat="1" ht="46.5" customHeight="1" x14ac:dyDescent="0.2">
      <c r="A13" s="707" t="s">
        <v>187</v>
      </c>
      <c r="B13" s="708"/>
      <c r="C13" s="708"/>
      <c r="D13" s="708"/>
      <c r="E13" s="708"/>
      <c r="F13" s="708"/>
      <c r="G13" s="708"/>
      <c r="H13" s="708"/>
      <c r="I13" s="708"/>
      <c r="J13" s="708"/>
      <c r="K13" s="708"/>
      <c r="L13" s="709"/>
    </row>
    <row r="14" spans="1:12" s="22" customFormat="1" ht="27" customHeight="1" x14ac:dyDescent="0.2">
      <c r="A14" s="727" t="s">
        <v>188</v>
      </c>
      <c r="B14" s="728"/>
      <c r="C14" s="728"/>
      <c r="D14" s="728"/>
      <c r="E14" s="728"/>
      <c r="F14" s="728"/>
      <c r="G14" s="728"/>
      <c r="H14" s="728"/>
      <c r="I14" s="728"/>
      <c r="J14" s="728"/>
      <c r="K14" s="728"/>
      <c r="L14" s="729"/>
    </row>
    <row r="15" spans="1:12" s="22" customFormat="1" ht="12.75" customHeight="1" x14ac:dyDescent="0.2">
      <c r="A15" s="220"/>
      <c r="B15" s="224"/>
      <c r="C15" s="224"/>
      <c r="D15" s="224"/>
      <c r="E15" s="224"/>
      <c r="F15" s="224"/>
      <c r="G15" s="224"/>
      <c r="H15" s="224"/>
      <c r="I15" s="224"/>
      <c r="J15" s="224"/>
      <c r="K15" s="224"/>
      <c r="L15" s="225"/>
    </row>
    <row r="16" spans="1:12" s="22" customFormat="1" ht="17.25" customHeight="1" x14ac:dyDescent="0.2">
      <c r="A16" s="715" t="s">
        <v>190</v>
      </c>
      <c r="B16" s="716"/>
      <c r="C16" s="716"/>
      <c r="D16" s="716"/>
      <c r="E16" s="716"/>
      <c r="F16" s="716"/>
      <c r="G16" s="716"/>
      <c r="H16" s="716"/>
      <c r="I16" s="716"/>
      <c r="J16" s="716"/>
      <c r="K16" s="716"/>
      <c r="L16" s="717"/>
    </row>
    <row r="17" spans="1:12" s="22" customFormat="1" x14ac:dyDescent="0.2">
      <c r="A17" s="718" t="s">
        <v>189</v>
      </c>
      <c r="B17" s="719"/>
      <c r="C17" s="719"/>
      <c r="D17" s="719"/>
      <c r="E17" s="719"/>
      <c r="F17" s="719"/>
      <c r="G17" s="719"/>
      <c r="H17" s="719"/>
      <c r="I17" s="719"/>
      <c r="J17" s="719"/>
      <c r="K17" s="719"/>
      <c r="L17" s="720"/>
    </row>
    <row r="18" spans="1:12" s="22" customFormat="1" ht="11.25" customHeight="1" x14ac:dyDescent="0.2">
      <c r="A18" s="220"/>
      <c r="B18" s="224"/>
      <c r="C18" s="224"/>
      <c r="D18" s="224"/>
      <c r="E18" s="224"/>
      <c r="F18" s="224"/>
      <c r="G18" s="224"/>
      <c r="H18" s="224"/>
      <c r="I18" s="224"/>
      <c r="J18" s="224"/>
      <c r="K18" s="224"/>
      <c r="L18" s="225"/>
    </row>
    <row r="19" spans="1:12" s="22" customFormat="1" x14ac:dyDescent="0.2">
      <c r="A19" s="724" t="s">
        <v>191</v>
      </c>
      <c r="B19" s="725"/>
      <c r="C19" s="725"/>
      <c r="D19" s="725"/>
      <c r="E19" s="725"/>
      <c r="F19" s="725"/>
      <c r="G19" s="725"/>
      <c r="H19" s="725"/>
      <c r="I19" s="725"/>
      <c r="J19" s="725"/>
      <c r="K19" s="725"/>
      <c r="L19" s="726"/>
    </row>
    <row r="20" spans="1:12" s="22" customFormat="1" ht="44.25" customHeight="1" x14ac:dyDescent="0.2">
      <c r="A20" s="718" t="s">
        <v>192</v>
      </c>
      <c r="B20" s="719"/>
      <c r="C20" s="719"/>
      <c r="D20" s="719"/>
      <c r="E20" s="719"/>
      <c r="F20" s="719"/>
      <c r="G20" s="719"/>
      <c r="H20" s="719"/>
      <c r="I20" s="719"/>
      <c r="J20" s="719"/>
      <c r="K20" s="719"/>
      <c r="L20" s="720"/>
    </row>
    <row r="21" spans="1:12" s="22" customFormat="1" x14ac:dyDescent="0.2">
      <c r="A21" s="220"/>
      <c r="B21" s="224"/>
      <c r="C21" s="224"/>
      <c r="D21" s="224"/>
      <c r="E21" s="224"/>
      <c r="F21" s="224"/>
      <c r="G21" s="224"/>
      <c r="H21" s="224"/>
      <c r="I21" s="224"/>
      <c r="J21" s="224"/>
      <c r="K21" s="224"/>
      <c r="L21" s="225"/>
    </row>
    <row r="22" spans="1:12" s="22" customFormat="1" ht="18" customHeight="1" x14ac:dyDescent="0.2">
      <c r="A22" s="715" t="s">
        <v>193</v>
      </c>
      <c r="B22" s="716"/>
      <c r="C22" s="716"/>
      <c r="D22" s="716"/>
      <c r="E22" s="716"/>
      <c r="F22" s="716"/>
      <c r="G22" s="716"/>
      <c r="H22" s="716"/>
      <c r="I22" s="716"/>
      <c r="J22" s="716"/>
      <c r="K22" s="716"/>
      <c r="L22" s="717"/>
    </row>
    <row r="23" spans="1:12" s="22" customFormat="1" x14ac:dyDescent="0.2">
      <c r="A23" s="721" t="s">
        <v>194</v>
      </c>
      <c r="B23" s="722"/>
      <c r="C23" s="722"/>
      <c r="D23" s="722"/>
      <c r="E23" s="722"/>
      <c r="F23" s="722"/>
      <c r="G23" s="722"/>
      <c r="H23" s="722"/>
      <c r="I23" s="722"/>
      <c r="J23" s="722"/>
      <c r="K23" s="722"/>
      <c r="L23" s="723"/>
    </row>
    <row r="24" spans="1:12" s="22" customFormat="1" x14ac:dyDescent="0.2">
      <c r="A24" s="718" t="s">
        <v>195</v>
      </c>
      <c r="B24" s="719"/>
      <c r="C24" s="719"/>
      <c r="D24" s="719"/>
      <c r="E24" s="719"/>
      <c r="F24" s="719"/>
      <c r="G24" s="719"/>
      <c r="H24" s="719"/>
      <c r="I24" s="719"/>
      <c r="J24" s="719"/>
      <c r="K24" s="719"/>
      <c r="L24" s="720"/>
    </row>
    <row r="25" spans="1:12" s="22" customFormat="1" x14ac:dyDescent="0.2">
      <c r="A25" s="220"/>
      <c r="B25" s="224"/>
      <c r="C25" s="224"/>
      <c r="D25" s="224"/>
      <c r="E25" s="224"/>
      <c r="F25" s="224"/>
      <c r="G25" s="224"/>
      <c r="H25" s="224"/>
      <c r="I25" s="224"/>
      <c r="J25" s="224"/>
      <c r="K25" s="224"/>
      <c r="L25" s="225"/>
    </row>
    <row r="26" spans="1:12" s="22" customFormat="1" ht="14.25" customHeight="1" x14ac:dyDescent="0.2">
      <c r="A26" s="715" t="s">
        <v>196</v>
      </c>
      <c r="B26" s="716"/>
      <c r="C26" s="716"/>
      <c r="D26" s="716"/>
      <c r="E26" s="716"/>
      <c r="F26" s="716"/>
      <c r="G26" s="716"/>
      <c r="H26" s="716"/>
      <c r="I26" s="716"/>
      <c r="J26" s="716"/>
      <c r="K26" s="716"/>
      <c r="L26" s="717"/>
    </row>
    <row r="27" spans="1:12" s="22" customFormat="1" ht="16.5" customHeight="1" x14ac:dyDescent="0.2">
      <c r="A27" s="707" t="s">
        <v>198</v>
      </c>
      <c r="B27" s="708"/>
      <c r="C27" s="708"/>
      <c r="D27" s="708"/>
      <c r="E27" s="708"/>
      <c r="F27" s="708"/>
      <c r="G27" s="708"/>
      <c r="H27" s="708"/>
      <c r="I27" s="708"/>
      <c r="J27" s="708"/>
      <c r="K27" s="708"/>
      <c r="L27" s="709"/>
    </row>
    <row r="28" spans="1:12" s="22" customFormat="1" ht="28.5" customHeight="1" x14ac:dyDescent="0.2">
      <c r="A28" s="707" t="s">
        <v>199</v>
      </c>
      <c r="B28" s="708"/>
      <c r="C28" s="708"/>
      <c r="D28" s="708"/>
      <c r="E28" s="708"/>
      <c r="F28" s="708"/>
      <c r="G28" s="708"/>
      <c r="H28" s="708"/>
      <c r="I28" s="708"/>
      <c r="J28" s="708"/>
      <c r="K28" s="708"/>
      <c r="L28" s="709"/>
    </row>
    <row r="29" spans="1:12" s="22" customFormat="1" ht="15" customHeight="1" thickBot="1" x14ac:dyDescent="0.25">
      <c r="A29" s="710" t="s">
        <v>200</v>
      </c>
      <c r="B29" s="711"/>
      <c r="C29" s="711"/>
      <c r="D29" s="711"/>
      <c r="E29" s="711"/>
      <c r="F29" s="711"/>
      <c r="G29" s="711"/>
      <c r="H29" s="711"/>
      <c r="I29" s="711"/>
      <c r="J29" s="711"/>
      <c r="K29" s="711"/>
      <c r="L29" s="712"/>
    </row>
    <row r="30" spans="1:12" s="22" customFormat="1" ht="15" customHeight="1" thickBot="1" x14ac:dyDescent="0.25">
      <c r="A30" s="220"/>
      <c r="B30" s="224"/>
      <c r="C30" s="224"/>
      <c r="D30" s="224"/>
      <c r="E30" s="224"/>
      <c r="F30" s="224"/>
      <c r="G30" s="224"/>
      <c r="H30" s="224"/>
      <c r="I30" s="224"/>
      <c r="J30" s="224"/>
      <c r="K30" s="224"/>
      <c r="L30" s="224"/>
    </row>
    <row r="31" spans="1:12" s="22" customFormat="1" ht="15" customHeight="1" x14ac:dyDescent="0.2">
      <c r="A31" s="730" t="s">
        <v>197</v>
      </c>
      <c r="B31" s="731"/>
      <c r="C31" s="731"/>
      <c r="D31" s="731"/>
      <c r="E31" s="731"/>
      <c r="F31" s="731"/>
      <c r="G31" s="731"/>
      <c r="H31" s="731"/>
      <c r="I31" s="731"/>
      <c r="J31" s="731"/>
      <c r="K31" s="731"/>
      <c r="L31" s="732"/>
    </row>
    <row r="32" spans="1:12" s="22" customFormat="1" ht="44.25" customHeight="1" x14ac:dyDescent="0.2">
      <c r="A32" s="721" t="s">
        <v>204</v>
      </c>
      <c r="B32" s="722"/>
      <c r="C32" s="722"/>
      <c r="D32" s="722"/>
      <c r="E32" s="722"/>
      <c r="F32" s="722"/>
      <c r="G32" s="722"/>
      <c r="H32" s="722"/>
      <c r="I32" s="722"/>
      <c r="J32" s="722"/>
      <c r="K32" s="722"/>
      <c r="L32" s="723"/>
    </row>
    <row r="33" spans="1:12" s="22" customFormat="1" ht="135" customHeight="1" x14ac:dyDescent="0.2">
      <c r="A33" s="721" t="s">
        <v>215</v>
      </c>
      <c r="B33" s="722"/>
      <c r="C33" s="722"/>
      <c r="D33" s="722"/>
      <c r="E33" s="722"/>
      <c r="F33" s="722"/>
      <c r="G33" s="722"/>
      <c r="H33" s="722"/>
      <c r="I33" s="722"/>
      <c r="J33" s="722"/>
      <c r="K33" s="722"/>
      <c r="L33" s="723"/>
    </row>
    <row r="34" spans="1:12" s="22" customFormat="1" ht="45" customHeight="1" x14ac:dyDescent="0.2">
      <c r="A34" s="721" t="s">
        <v>201</v>
      </c>
      <c r="B34" s="722"/>
      <c r="C34" s="722"/>
      <c r="D34" s="722"/>
      <c r="E34" s="722"/>
      <c r="F34" s="722"/>
      <c r="G34" s="722"/>
      <c r="H34" s="722"/>
      <c r="I34" s="722"/>
      <c r="J34" s="722"/>
      <c r="K34" s="722"/>
      <c r="L34" s="723"/>
    </row>
    <row r="35" spans="1:12" s="22" customFormat="1" ht="97.5" customHeight="1" thickBot="1" x14ac:dyDescent="0.25">
      <c r="A35" s="733" t="s">
        <v>209</v>
      </c>
      <c r="B35" s="734"/>
      <c r="C35" s="734"/>
      <c r="D35" s="734"/>
      <c r="E35" s="734"/>
      <c r="F35" s="734"/>
      <c r="G35" s="734"/>
      <c r="H35" s="734"/>
      <c r="I35" s="734"/>
      <c r="J35" s="734"/>
      <c r="K35" s="734"/>
      <c r="L35" s="735"/>
    </row>
    <row r="36" spans="1:12" s="22" customFormat="1" ht="13.5" thickBot="1" x14ac:dyDescent="0.25">
      <c r="A36" s="220"/>
      <c r="B36" s="224"/>
      <c r="C36" s="224"/>
      <c r="D36" s="224"/>
      <c r="E36" s="224"/>
      <c r="F36" s="224"/>
      <c r="G36" s="224"/>
      <c r="H36" s="224"/>
      <c r="I36" s="224"/>
      <c r="J36" s="224"/>
      <c r="K36" s="224"/>
      <c r="L36" s="224"/>
    </row>
    <row r="37" spans="1:12" s="22" customFormat="1" x14ac:dyDescent="0.2">
      <c r="A37" s="730" t="s">
        <v>253</v>
      </c>
      <c r="B37" s="731"/>
      <c r="C37" s="731"/>
      <c r="D37" s="731"/>
      <c r="E37" s="731"/>
      <c r="F37" s="731"/>
      <c r="G37" s="731"/>
      <c r="H37" s="731"/>
      <c r="I37" s="731"/>
      <c r="J37" s="731"/>
      <c r="K37" s="731"/>
      <c r="L37" s="732"/>
    </row>
    <row r="38" spans="1:12" s="22" customFormat="1" ht="27" customHeight="1" thickBot="1" x14ac:dyDescent="0.25">
      <c r="A38" s="733" t="s">
        <v>254</v>
      </c>
      <c r="B38" s="734"/>
      <c r="C38" s="734"/>
      <c r="D38" s="734"/>
      <c r="E38" s="734"/>
      <c r="F38" s="734"/>
      <c r="G38" s="734"/>
      <c r="H38" s="734"/>
      <c r="I38" s="734"/>
      <c r="J38" s="734"/>
      <c r="K38" s="734"/>
      <c r="L38" s="735"/>
    </row>
    <row r="39" spans="1:12" s="22" customFormat="1" ht="13.5" thickBot="1" x14ac:dyDescent="0.25">
      <c r="A39" s="220"/>
      <c r="B39" s="224"/>
      <c r="C39" s="224"/>
      <c r="D39" s="224"/>
      <c r="E39" s="224"/>
      <c r="F39" s="224"/>
      <c r="G39" s="224"/>
      <c r="H39" s="224"/>
      <c r="I39" s="224"/>
      <c r="J39" s="224"/>
      <c r="K39" s="224"/>
      <c r="L39" s="224"/>
    </row>
    <row r="40" spans="1:12" s="22" customFormat="1" x14ac:dyDescent="0.2">
      <c r="A40" s="730" t="s">
        <v>288</v>
      </c>
      <c r="B40" s="731"/>
      <c r="C40" s="731"/>
      <c r="D40" s="731"/>
      <c r="E40" s="731"/>
      <c r="F40" s="731"/>
      <c r="G40" s="731"/>
      <c r="H40" s="731"/>
      <c r="I40" s="731"/>
      <c r="J40" s="731"/>
      <c r="K40" s="731"/>
      <c r="L40" s="732"/>
    </row>
    <row r="41" spans="1:12" s="22" customFormat="1" ht="37.5" customHeight="1" thickBot="1" x14ac:dyDescent="0.25">
      <c r="A41" s="733" t="s">
        <v>290</v>
      </c>
      <c r="B41" s="734"/>
      <c r="C41" s="734"/>
      <c r="D41" s="734"/>
      <c r="E41" s="734"/>
      <c r="F41" s="734"/>
      <c r="G41" s="734"/>
      <c r="H41" s="734"/>
      <c r="I41" s="734"/>
      <c r="J41" s="734"/>
      <c r="K41" s="734"/>
      <c r="L41" s="735"/>
    </row>
    <row r="42" spans="1:12" s="22" customFormat="1" ht="13.5" thickBot="1" x14ac:dyDescent="0.25">
      <c r="A42" s="220"/>
      <c r="B42" s="224"/>
      <c r="C42" s="224"/>
      <c r="D42" s="224"/>
      <c r="E42" s="224"/>
      <c r="F42" s="224"/>
      <c r="G42" s="224"/>
      <c r="H42" s="224"/>
      <c r="I42" s="224"/>
      <c r="J42" s="224"/>
      <c r="K42" s="224"/>
      <c r="L42" s="224"/>
    </row>
    <row r="43" spans="1:12" s="22" customFormat="1" x14ac:dyDescent="0.2">
      <c r="A43" s="730" t="s">
        <v>289</v>
      </c>
      <c r="B43" s="731"/>
      <c r="C43" s="731"/>
      <c r="D43" s="731"/>
      <c r="E43" s="731"/>
      <c r="F43" s="731"/>
      <c r="G43" s="731"/>
      <c r="H43" s="731"/>
      <c r="I43" s="731"/>
      <c r="J43" s="731"/>
      <c r="K43" s="731"/>
      <c r="L43" s="732"/>
    </row>
    <row r="44" spans="1:12" s="22" customFormat="1" x14ac:dyDescent="0.2">
      <c r="A44" s="736" t="s">
        <v>202</v>
      </c>
      <c r="B44" s="737"/>
      <c r="C44" s="737"/>
      <c r="D44" s="737"/>
      <c r="E44" s="737"/>
      <c r="F44" s="737"/>
      <c r="G44" s="737"/>
      <c r="H44" s="737"/>
      <c r="I44" s="737"/>
      <c r="J44" s="737"/>
      <c r="K44" s="737"/>
      <c r="L44" s="738"/>
    </row>
    <row r="45" spans="1:12" s="22" customFormat="1" ht="29.25" customHeight="1" thickBot="1" x14ac:dyDescent="0.25">
      <c r="A45" s="739" t="s">
        <v>268</v>
      </c>
      <c r="B45" s="740"/>
      <c r="C45" s="740"/>
      <c r="D45" s="740"/>
      <c r="E45" s="740"/>
      <c r="F45" s="740"/>
      <c r="G45" s="740"/>
      <c r="H45" s="740"/>
      <c r="I45" s="740"/>
      <c r="J45" s="740"/>
      <c r="K45" s="740"/>
      <c r="L45" s="741"/>
    </row>
    <row r="46" spans="1:12" s="22" customFormat="1" ht="13.5" thickBot="1" x14ac:dyDescent="0.25">
      <c r="A46" s="736"/>
      <c r="B46" s="737"/>
      <c r="C46" s="737"/>
      <c r="D46" s="737"/>
      <c r="E46" s="737"/>
      <c r="F46" s="737"/>
      <c r="G46" s="737"/>
      <c r="H46" s="737"/>
      <c r="I46" s="737"/>
      <c r="J46" s="737"/>
      <c r="K46" s="737"/>
      <c r="L46" s="737"/>
    </row>
    <row r="47" spans="1:12" s="22" customFormat="1" ht="28.5" customHeight="1" thickBot="1" x14ac:dyDescent="0.25">
      <c r="A47" s="742" t="s">
        <v>317</v>
      </c>
      <c r="B47" s="743"/>
      <c r="C47" s="743"/>
      <c r="D47" s="743"/>
      <c r="E47" s="743"/>
      <c r="F47" s="743"/>
      <c r="G47" s="743"/>
      <c r="H47" s="743"/>
      <c r="I47" s="743"/>
      <c r="J47" s="743"/>
      <c r="K47" s="743"/>
      <c r="L47" s="744"/>
    </row>
    <row r="48" spans="1:12" s="22" customFormat="1" x14ac:dyDescent="0.2">
      <c r="A48" s="220"/>
      <c r="B48" s="221"/>
      <c r="C48" s="221"/>
      <c r="D48" s="221"/>
      <c r="E48" s="221"/>
      <c r="F48" s="221"/>
      <c r="G48" s="221"/>
      <c r="H48" s="226"/>
      <c r="I48" s="222"/>
      <c r="J48" s="222"/>
      <c r="K48" s="222"/>
      <c r="L48" s="222"/>
    </row>
    <row r="49" spans="1:12" s="22" customFormat="1" x14ac:dyDescent="0.2">
      <c r="A49" s="227" t="s">
        <v>69</v>
      </c>
      <c r="B49" s="221"/>
      <c r="C49" s="221"/>
      <c r="D49" s="221"/>
      <c r="E49" s="221"/>
      <c r="F49" s="221"/>
      <c r="G49" s="221"/>
      <c r="H49" s="226"/>
      <c r="I49" s="222"/>
      <c r="J49" s="222"/>
      <c r="K49" s="222"/>
      <c r="L49" s="222"/>
    </row>
    <row r="50" spans="1:12" x14ac:dyDescent="0.2">
      <c r="A50" s="228"/>
      <c r="B50" s="229"/>
      <c r="C50" s="229"/>
      <c r="D50" s="229"/>
      <c r="E50" s="229"/>
      <c r="F50" s="229"/>
      <c r="G50" s="229"/>
      <c r="H50" s="230"/>
      <c r="I50" s="184"/>
      <c r="J50" s="184"/>
      <c r="K50" s="184"/>
      <c r="L50" s="184"/>
    </row>
    <row r="51" spans="1:12" x14ac:dyDescent="0.2">
      <c r="A51" s="184"/>
      <c r="B51" s="229"/>
      <c r="C51" s="229"/>
      <c r="D51" s="229"/>
      <c r="E51" s="229"/>
      <c r="F51" s="229"/>
      <c r="G51" s="229"/>
      <c r="H51" s="230"/>
      <c r="I51" s="184"/>
      <c r="J51" s="184"/>
      <c r="K51" s="184"/>
      <c r="L51" s="184"/>
    </row>
    <row r="52" spans="1:12" x14ac:dyDescent="0.2">
      <c r="A52" s="228"/>
      <c r="B52" s="229"/>
      <c r="C52" s="229"/>
      <c r="D52" s="229"/>
      <c r="E52" s="229"/>
      <c r="F52" s="229"/>
      <c r="G52" s="229"/>
      <c r="H52" s="230"/>
      <c r="I52" s="184"/>
      <c r="J52" s="184"/>
      <c r="K52" s="184"/>
      <c r="L52" s="184"/>
    </row>
    <row r="53" spans="1:12" x14ac:dyDescent="0.2">
      <c r="A53" s="228"/>
      <c r="B53" s="229"/>
      <c r="C53" s="229"/>
      <c r="D53" s="229"/>
      <c r="E53" s="229"/>
      <c r="F53" s="229"/>
      <c r="G53" s="229"/>
      <c r="H53" s="230"/>
      <c r="I53" s="184"/>
      <c r="J53" s="184"/>
      <c r="K53" s="184"/>
      <c r="L53" s="184"/>
    </row>
    <row r="54" spans="1:12" x14ac:dyDescent="0.2">
      <c r="A54" s="228"/>
      <c r="B54" s="229"/>
      <c r="C54" s="229"/>
      <c r="D54" s="229"/>
      <c r="E54" s="229"/>
      <c r="F54" s="229"/>
      <c r="G54" s="229"/>
      <c r="H54" s="230"/>
      <c r="I54" s="184"/>
      <c r="J54" s="184"/>
      <c r="K54" s="184"/>
      <c r="L54" s="184"/>
    </row>
    <row r="55" spans="1:12" x14ac:dyDescent="0.2">
      <c r="A55" s="228"/>
      <c r="B55" s="229"/>
      <c r="C55" s="229"/>
      <c r="D55" s="229"/>
      <c r="E55" s="229"/>
      <c r="F55" s="229"/>
      <c r="G55" s="229"/>
      <c r="H55" s="230"/>
      <c r="I55" s="184"/>
      <c r="J55" s="184"/>
      <c r="K55" s="184"/>
      <c r="L55" s="184"/>
    </row>
    <row r="56" spans="1:12" x14ac:dyDescent="0.2">
      <c r="A56" s="228"/>
      <c r="B56" s="229"/>
      <c r="C56" s="229"/>
      <c r="D56" s="229"/>
      <c r="E56" s="229"/>
      <c r="F56" s="229"/>
      <c r="G56" s="229"/>
      <c r="H56" s="230"/>
      <c r="I56" s="184"/>
      <c r="J56" s="184"/>
      <c r="K56" s="184"/>
      <c r="L56" s="184"/>
    </row>
    <row r="57" spans="1:12" x14ac:dyDescent="0.2">
      <c r="A57" s="228"/>
      <c r="B57" s="229"/>
      <c r="C57" s="229"/>
      <c r="D57" s="229"/>
      <c r="E57" s="229"/>
      <c r="F57" s="229"/>
      <c r="G57" s="229"/>
      <c r="H57" s="230"/>
      <c r="I57" s="184"/>
      <c r="J57" s="184"/>
      <c r="K57" s="184"/>
      <c r="L57" s="184"/>
    </row>
    <row r="58" spans="1:12" x14ac:dyDescent="0.2">
      <c r="A58" s="228"/>
      <c r="B58" s="229"/>
      <c r="C58" s="229"/>
      <c r="D58" s="229"/>
      <c r="E58" s="229"/>
      <c r="F58" s="229"/>
      <c r="G58" s="229"/>
      <c r="H58" s="230"/>
      <c r="I58" s="184"/>
      <c r="J58" s="184"/>
      <c r="K58" s="184"/>
      <c r="L58" s="184"/>
    </row>
    <row r="59" spans="1:12" x14ac:dyDescent="0.2">
      <c r="A59" s="228"/>
      <c r="B59" s="229"/>
      <c r="C59" s="229"/>
      <c r="D59" s="229"/>
      <c r="E59" s="229"/>
      <c r="F59" s="229"/>
      <c r="G59" s="229"/>
      <c r="H59" s="230"/>
      <c r="I59" s="184"/>
      <c r="J59" s="184"/>
      <c r="K59" s="184"/>
      <c r="L59" s="184"/>
    </row>
    <row r="60" spans="1:12" x14ac:dyDescent="0.2">
      <c r="A60" s="228"/>
      <c r="B60" s="229"/>
      <c r="C60" s="229"/>
      <c r="D60" s="229"/>
      <c r="E60" s="229"/>
      <c r="F60" s="229"/>
      <c r="G60" s="229"/>
      <c r="H60" s="230"/>
      <c r="I60" s="184"/>
      <c r="J60" s="184"/>
      <c r="K60" s="184"/>
      <c r="L60" s="184"/>
    </row>
    <row r="61" spans="1:12" x14ac:dyDescent="0.2">
      <c r="A61" s="228"/>
      <c r="B61" s="229"/>
      <c r="C61" s="229"/>
      <c r="D61" s="229"/>
      <c r="E61" s="229"/>
      <c r="F61" s="229"/>
      <c r="G61" s="229"/>
      <c r="H61" s="230"/>
      <c r="I61" s="184"/>
      <c r="J61" s="184"/>
      <c r="K61" s="184"/>
      <c r="L61" s="184"/>
    </row>
    <row r="62" spans="1:12" x14ac:dyDescent="0.2">
      <c r="A62" s="228"/>
      <c r="B62" s="229"/>
      <c r="C62" s="229"/>
      <c r="D62" s="229"/>
      <c r="E62" s="229"/>
      <c r="F62" s="229"/>
      <c r="G62" s="229"/>
      <c r="H62" s="230"/>
      <c r="I62" s="184"/>
      <c r="J62" s="184"/>
      <c r="K62" s="184"/>
      <c r="L62" s="184"/>
    </row>
    <row r="63" spans="1:12" x14ac:dyDescent="0.2">
      <c r="A63" s="228"/>
      <c r="B63" s="229"/>
      <c r="C63" s="229"/>
      <c r="D63" s="229"/>
      <c r="E63" s="229"/>
      <c r="F63" s="229"/>
      <c r="G63" s="229"/>
      <c r="H63" s="230"/>
      <c r="I63" s="184"/>
      <c r="J63" s="184"/>
      <c r="K63" s="184"/>
      <c r="L63" s="184"/>
    </row>
    <row r="64" spans="1:12" x14ac:dyDescent="0.2">
      <c r="A64" s="228"/>
      <c r="B64" s="229"/>
      <c r="C64" s="229"/>
      <c r="D64" s="229"/>
      <c r="E64" s="229"/>
      <c r="F64" s="229"/>
      <c r="G64" s="229"/>
      <c r="H64" s="230"/>
      <c r="I64" s="184"/>
      <c r="J64" s="184"/>
      <c r="K64" s="184"/>
      <c r="L64" s="184"/>
    </row>
    <row r="65" spans="1:14" x14ac:dyDescent="0.2">
      <c r="A65" s="228"/>
      <c r="B65" s="229"/>
      <c r="C65" s="229"/>
      <c r="D65" s="229"/>
      <c r="E65" s="229"/>
      <c r="F65" s="229"/>
      <c r="G65" s="229"/>
      <c r="H65" s="230"/>
      <c r="I65" s="184"/>
      <c r="J65" s="184"/>
      <c r="K65" s="184"/>
      <c r="L65" s="184"/>
    </row>
    <row r="66" spans="1:14" x14ac:dyDescent="0.2">
      <c r="A66" s="228"/>
      <c r="B66" s="229"/>
      <c r="C66" s="229"/>
      <c r="D66" s="229"/>
      <c r="E66" s="229"/>
      <c r="F66" s="229"/>
      <c r="G66" s="229"/>
      <c r="H66" s="230"/>
      <c r="I66" s="184"/>
      <c r="J66" s="184"/>
      <c r="K66" s="184"/>
      <c r="L66" s="184"/>
    </row>
    <row r="67" spans="1:14" x14ac:dyDescent="0.2">
      <c r="A67" s="228"/>
      <c r="B67" s="229"/>
      <c r="C67" s="229"/>
      <c r="D67" s="229"/>
      <c r="E67" s="229"/>
      <c r="F67" s="229"/>
      <c r="G67" s="229"/>
      <c r="H67" s="230"/>
      <c r="I67" s="184"/>
      <c r="J67" s="184"/>
      <c r="K67" s="184"/>
      <c r="L67" s="184"/>
    </row>
    <row r="68" spans="1:14" x14ac:dyDescent="0.2">
      <c r="A68" s="228"/>
      <c r="B68" s="229"/>
      <c r="C68" s="229"/>
      <c r="D68" s="229"/>
      <c r="E68" s="229"/>
      <c r="F68" s="229"/>
      <c r="G68" s="229"/>
      <c r="H68" s="230"/>
      <c r="I68" s="184"/>
      <c r="J68" s="184"/>
      <c r="K68" s="184"/>
      <c r="L68" s="184"/>
    </row>
    <row r="69" spans="1:14" x14ac:dyDescent="0.2">
      <c r="A69" s="228"/>
      <c r="B69" s="229"/>
      <c r="C69" s="229"/>
      <c r="D69" s="229"/>
      <c r="E69" s="229"/>
      <c r="F69" s="229"/>
      <c r="G69" s="229"/>
      <c r="H69" s="230"/>
      <c r="I69" s="184"/>
      <c r="J69" s="184"/>
      <c r="K69" s="184"/>
      <c r="L69" s="184"/>
    </row>
    <row r="70" spans="1:14" x14ac:dyDescent="0.2">
      <c r="A70" s="228"/>
      <c r="B70" s="229"/>
      <c r="C70" s="229"/>
      <c r="D70" s="229"/>
      <c r="E70" s="229"/>
      <c r="F70" s="229"/>
      <c r="G70" s="229"/>
      <c r="H70" s="230"/>
      <c r="I70" s="184"/>
      <c r="J70" s="184"/>
      <c r="K70" s="184"/>
      <c r="L70" s="184"/>
    </row>
    <row r="71" spans="1:14" x14ac:dyDescent="0.2">
      <c r="A71" s="228"/>
      <c r="B71" s="229"/>
      <c r="C71" s="229"/>
      <c r="D71" s="229"/>
      <c r="E71" s="229"/>
      <c r="F71" s="229"/>
      <c r="G71" s="229"/>
      <c r="H71" s="230"/>
      <c r="I71" s="184"/>
      <c r="J71" s="184"/>
      <c r="K71" s="184"/>
      <c r="L71" s="184"/>
    </row>
    <row r="72" spans="1:14" x14ac:dyDescent="0.2">
      <c r="A72" s="228"/>
      <c r="B72" s="229"/>
      <c r="C72" s="229"/>
      <c r="D72" s="229"/>
      <c r="E72" s="229"/>
      <c r="F72" s="229"/>
      <c r="G72" s="229"/>
      <c r="H72" s="230"/>
      <c r="I72" s="184"/>
      <c r="J72" s="184"/>
      <c r="K72" s="184"/>
      <c r="L72" s="184"/>
    </row>
    <row r="73" spans="1:14" x14ac:dyDescent="0.2">
      <c r="A73" s="228"/>
      <c r="B73" s="229"/>
      <c r="C73" s="229"/>
      <c r="D73" s="229"/>
      <c r="E73" s="229"/>
      <c r="F73" s="229"/>
      <c r="G73" s="229"/>
      <c r="H73" s="230"/>
      <c r="I73" s="184"/>
      <c r="J73" s="184"/>
      <c r="K73" s="184"/>
      <c r="L73" s="184"/>
    </row>
    <row r="74" spans="1:14" ht="21" customHeight="1" thickBot="1" x14ac:dyDescent="0.25">
      <c r="A74" s="231"/>
      <c r="B74" s="232"/>
      <c r="C74" s="232"/>
      <c r="D74" s="232"/>
      <c r="E74" s="232"/>
      <c r="F74" s="232"/>
      <c r="G74" s="232"/>
      <c r="H74" s="233"/>
      <c r="I74" s="184"/>
      <c r="J74" s="184"/>
      <c r="K74" s="184"/>
      <c r="L74" s="184"/>
    </row>
    <row r="75" spans="1:14" x14ac:dyDescent="0.2">
      <c r="A75" s="184"/>
      <c r="B75" s="184"/>
      <c r="C75" s="184"/>
      <c r="D75" s="184"/>
      <c r="E75" s="184"/>
      <c r="F75" s="184"/>
      <c r="G75" s="184"/>
      <c r="H75" s="184"/>
      <c r="I75" s="234"/>
      <c r="J75" s="234"/>
      <c r="K75" s="234"/>
      <c r="L75" s="234"/>
      <c r="M75" s="23"/>
      <c r="N75" s="23"/>
    </row>
    <row r="76" spans="1:14" ht="13.5" thickBot="1" x14ac:dyDescent="0.25">
      <c r="A76" s="184"/>
      <c r="B76" s="184"/>
      <c r="C76" s="184"/>
      <c r="D76" s="184"/>
      <c r="E76" s="184"/>
      <c r="F76" s="184"/>
      <c r="G76" s="184"/>
      <c r="H76" s="184"/>
      <c r="I76" s="234"/>
      <c r="J76" s="234"/>
      <c r="K76" s="234"/>
      <c r="L76" s="234"/>
      <c r="M76" s="23"/>
      <c r="N76" s="23"/>
    </row>
    <row r="77" spans="1:14" ht="13.5" thickBot="1" x14ac:dyDescent="0.25">
      <c r="A77" s="749" t="s">
        <v>164</v>
      </c>
      <c r="B77" s="750"/>
      <c r="C77" s="750"/>
      <c r="D77" s="750"/>
      <c r="E77" s="750"/>
      <c r="F77" s="750"/>
      <c r="G77" s="750"/>
      <c r="H77" s="751"/>
      <c r="I77" s="234"/>
      <c r="J77" s="234"/>
      <c r="K77" s="234"/>
      <c r="L77" s="234"/>
      <c r="M77" s="23"/>
      <c r="N77" s="23"/>
    </row>
    <row r="78" spans="1:14" ht="14.25" x14ac:dyDescent="0.2">
      <c r="A78" s="235"/>
      <c r="B78" s="236" t="s">
        <v>165</v>
      </c>
      <c r="C78" s="752" t="s">
        <v>167</v>
      </c>
      <c r="D78" s="753"/>
      <c r="E78" s="753"/>
      <c r="F78" s="753"/>
      <c r="G78" s="753"/>
      <c r="H78" s="754"/>
      <c r="I78" s="234"/>
      <c r="J78" s="234"/>
      <c r="K78" s="234"/>
      <c r="L78" s="234"/>
      <c r="M78" s="23"/>
      <c r="N78" s="23"/>
    </row>
    <row r="79" spans="1:14" x14ac:dyDescent="0.2">
      <c r="A79" s="237"/>
      <c r="B79" s="238" t="s">
        <v>206</v>
      </c>
      <c r="C79" s="747" t="s">
        <v>166</v>
      </c>
      <c r="D79" s="747"/>
      <c r="E79" s="747"/>
      <c r="F79" s="747"/>
      <c r="G79" s="747"/>
      <c r="H79" s="748"/>
      <c r="I79" s="234"/>
      <c r="J79" s="234"/>
      <c r="K79" s="234"/>
      <c r="L79" s="234"/>
      <c r="M79" s="23"/>
      <c r="N79" s="23"/>
    </row>
    <row r="80" spans="1:14" ht="33.75" customHeight="1" thickBot="1" x14ac:dyDescent="0.25">
      <c r="A80" s="239"/>
      <c r="B80" s="240" t="s">
        <v>168</v>
      </c>
      <c r="C80" s="745" t="s">
        <v>169</v>
      </c>
      <c r="D80" s="745"/>
      <c r="E80" s="745"/>
      <c r="F80" s="745"/>
      <c r="G80" s="745"/>
      <c r="H80" s="746"/>
      <c r="I80" s="234"/>
      <c r="J80" s="234"/>
      <c r="K80" s="234"/>
      <c r="L80" s="234"/>
      <c r="M80" s="23"/>
      <c r="N80" s="23"/>
    </row>
    <row r="81" spans="2:2" x14ac:dyDescent="0.2">
      <c r="B81" s="101"/>
    </row>
  </sheetData>
  <mergeCells count="39">
    <mergeCell ref="A45:L45"/>
    <mergeCell ref="A47:L47"/>
    <mergeCell ref="C80:H80"/>
    <mergeCell ref="C79:H79"/>
    <mergeCell ref="A77:H77"/>
    <mergeCell ref="C78:H78"/>
    <mergeCell ref="A46:L46"/>
    <mergeCell ref="A35:L35"/>
    <mergeCell ref="A34:L34"/>
    <mergeCell ref="A43:L43"/>
    <mergeCell ref="A44:L44"/>
    <mergeCell ref="A40:L40"/>
    <mergeCell ref="A41:L41"/>
    <mergeCell ref="A37:L37"/>
    <mergeCell ref="A38:L38"/>
    <mergeCell ref="A22:L22"/>
    <mergeCell ref="A23:L23"/>
    <mergeCell ref="A24:L24"/>
    <mergeCell ref="A33:L33"/>
    <mergeCell ref="A26:L26"/>
    <mergeCell ref="A27:L27"/>
    <mergeCell ref="A29:L29"/>
    <mergeCell ref="A31:L31"/>
    <mergeCell ref="A32:L32"/>
    <mergeCell ref="A28:L28"/>
    <mergeCell ref="A20:L20"/>
    <mergeCell ref="A9:L9"/>
    <mergeCell ref="A12:L12"/>
    <mergeCell ref="A16:L16"/>
    <mergeCell ref="A17:L17"/>
    <mergeCell ref="A19:L19"/>
    <mergeCell ref="A14:L14"/>
    <mergeCell ref="A1:L2"/>
    <mergeCell ref="A8:L8"/>
    <mergeCell ref="A13:L13"/>
    <mergeCell ref="A6:L6"/>
    <mergeCell ref="A7:L7"/>
    <mergeCell ref="A11:L11"/>
    <mergeCell ref="A5:L5"/>
  </mergeCells>
  <phoneticPr fontId="2" type="noConversion"/>
  <pageMargins left="0.78740157499999996" right="0.78740157499999996" top="0.984251969" bottom="0.984251969" header="0.4921259845" footer="0.4921259845"/>
  <pageSetup paperSize="9" orientation="landscape" horizontalDpi="4294967293"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tabColor theme="7"/>
  </sheetPr>
  <dimension ref="A1:F62"/>
  <sheetViews>
    <sheetView showGridLines="0" zoomScaleNormal="100" workbookViewId="0">
      <selection activeCell="E17" sqref="E17"/>
    </sheetView>
  </sheetViews>
  <sheetFormatPr baseColWidth="10" defaultRowHeight="12.75" x14ac:dyDescent="0.2"/>
  <cols>
    <col min="1" max="1" width="17.85546875" bestFit="1" customWidth="1"/>
    <col min="2" max="2" width="17.5703125" customWidth="1"/>
    <col min="3" max="3" width="13.7109375" customWidth="1"/>
    <col min="4" max="4" width="14.85546875" customWidth="1"/>
  </cols>
  <sheetData>
    <row r="1" spans="1:6" x14ac:dyDescent="0.2">
      <c r="A1" s="184"/>
      <c r="B1" s="184"/>
      <c r="C1" s="184"/>
      <c r="D1" s="184"/>
      <c r="E1" s="184"/>
      <c r="F1" s="185" t="str">
        <f>Einführung!L4</f>
        <v>v01.15</v>
      </c>
    </row>
    <row r="2" spans="1:6" ht="13.5" thickBot="1" x14ac:dyDescent="0.25">
      <c r="A2" s="184"/>
      <c r="B2" s="184"/>
      <c r="C2" s="184"/>
      <c r="D2" s="184"/>
      <c r="E2" s="184"/>
      <c r="F2" s="184"/>
    </row>
    <row r="3" spans="1:6" x14ac:dyDescent="0.2">
      <c r="A3" s="755" t="s">
        <v>232</v>
      </c>
      <c r="B3" s="756"/>
      <c r="C3" s="756"/>
      <c r="D3" s="756"/>
      <c r="E3" s="186" t="s">
        <v>74</v>
      </c>
      <c r="F3" s="187" t="s">
        <v>75</v>
      </c>
    </row>
    <row r="4" spans="1:6" ht="13.5" x14ac:dyDescent="0.25">
      <c r="A4" s="757" t="s">
        <v>73</v>
      </c>
      <c r="B4" s="758"/>
      <c r="C4" s="758"/>
      <c r="D4" s="758"/>
      <c r="E4" s="189" t="s">
        <v>71</v>
      </c>
      <c r="F4" s="190" t="s">
        <v>76</v>
      </c>
    </row>
    <row r="5" spans="1:6" ht="13.5" x14ac:dyDescent="0.25">
      <c r="A5" s="757" t="s">
        <v>78</v>
      </c>
      <c r="B5" s="758"/>
      <c r="C5" s="758"/>
      <c r="D5" s="758"/>
      <c r="E5" s="189" t="s">
        <v>77</v>
      </c>
      <c r="F5" s="190" t="s">
        <v>76</v>
      </c>
    </row>
    <row r="6" spans="1:6" ht="13.5" x14ac:dyDescent="0.25">
      <c r="A6" s="757" t="s">
        <v>79</v>
      </c>
      <c r="B6" s="758"/>
      <c r="C6" s="758"/>
      <c r="D6" s="758"/>
      <c r="E6" s="189" t="s">
        <v>80</v>
      </c>
      <c r="F6" s="190" t="s">
        <v>81</v>
      </c>
    </row>
    <row r="7" spans="1:6" ht="13.5" x14ac:dyDescent="0.25">
      <c r="A7" s="757" t="s">
        <v>82</v>
      </c>
      <c r="B7" s="758"/>
      <c r="C7" s="758"/>
      <c r="D7" s="758"/>
      <c r="E7" s="189" t="s">
        <v>83</v>
      </c>
      <c r="F7" s="190" t="s">
        <v>76</v>
      </c>
    </row>
    <row r="8" spans="1:6" ht="13.5" x14ac:dyDescent="0.25">
      <c r="A8" s="757" t="s">
        <v>284</v>
      </c>
      <c r="B8" s="758"/>
      <c r="C8" s="758"/>
      <c r="D8" s="758"/>
      <c r="E8" s="189" t="s">
        <v>84</v>
      </c>
      <c r="F8" s="190" t="s">
        <v>76</v>
      </c>
    </row>
    <row r="9" spans="1:6" ht="13.5" x14ac:dyDescent="0.25">
      <c r="A9" s="757" t="s">
        <v>86</v>
      </c>
      <c r="B9" s="758"/>
      <c r="C9" s="758"/>
      <c r="D9" s="758"/>
      <c r="E9" s="189" t="s">
        <v>87</v>
      </c>
      <c r="F9" s="190" t="s">
        <v>85</v>
      </c>
    </row>
    <row r="10" spans="1:6" x14ac:dyDescent="0.2">
      <c r="A10" s="757" t="s">
        <v>0</v>
      </c>
      <c r="B10" s="758"/>
      <c r="C10" s="758"/>
      <c r="D10" s="758"/>
      <c r="E10" s="189" t="s">
        <v>88</v>
      </c>
      <c r="F10" s="190" t="s">
        <v>89</v>
      </c>
    </row>
    <row r="11" spans="1:6" ht="13.5" x14ac:dyDescent="0.25">
      <c r="A11" s="757" t="s">
        <v>90</v>
      </c>
      <c r="B11" s="758"/>
      <c r="C11" s="758"/>
      <c r="D11" s="758"/>
      <c r="E11" s="189" t="s">
        <v>91</v>
      </c>
      <c r="F11" s="190" t="s">
        <v>31</v>
      </c>
    </row>
    <row r="12" spans="1:6" ht="13.5" x14ac:dyDescent="0.25">
      <c r="A12" s="757" t="s">
        <v>144</v>
      </c>
      <c r="B12" s="758"/>
      <c r="C12" s="758"/>
      <c r="D12" s="758"/>
      <c r="E12" s="189" t="s">
        <v>145</v>
      </c>
      <c r="F12" s="190" t="s">
        <v>31</v>
      </c>
    </row>
    <row r="13" spans="1:6" ht="13.5" x14ac:dyDescent="0.25">
      <c r="A13" s="757" t="s">
        <v>92</v>
      </c>
      <c r="B13" s="758"/>
      <c r="C13" s="758"/>
      <c r="D13" s="758"/>
      <c r="E13" s="189" t="s">
        <v>93</v>
      </c>
      <c r="F13" s="190" t="s">
        <v>94</v>
      </c>
    </row>
    <row r="14" spans="1:6" ht="13.5" x14ac:dyDescent="0.25">
      <c r="A14" s="757" t="s">
        <v>233</v>
      </c>
      <c r="B14" s="758"/>
      <c r="C14" s="758"/>
      <c r="D14" s="758"/>
      <c r="E14" s="189" t="s">
        <v>95</v>
      </c>
      <c r="F14" s="190" t="s">
        <v>31</v>
      </c>
    </row>
    <row r="15" spans="1:6" ht="13.5" x14ac:dyDescent="0.25">
      <c r="A15" s="757" t="s">
        <v>96</v>
      </c>
      <c r="B15" s="758"/>
      <c r="C15" s="758"/>
      <c r="D15" s="758"/>
      <c r="E15" s="189" t="s">
        <v>98</v>
      </c>
      <c r="F15" s="190" t="s">
        <v>97</v>
      </c>
    </row>
    <row r="16" spans="1:6" x14ac:dyDescent="0.2">
      <c r="A16" s="762" t="s">
        <v>99</v>
      </c>
      <c r="B16" s="763"/>
      <c r="C16" s="763"/>
      <c r="D16" s="763"/>
      <c r="E16" s="191" t="s">
        <v>66</v>
      </c>
      <c r="F16" s="192" t="s">
        <v>81</v>
      </c>
    </row>
    <row r="17" spans="1:6" ht="13.5" x14ac:dyDescent="0.25">
      <c r="A17" s="757" t="s">
        <v>133</v>
      </c>
      <c r="B17" s="758"/>
      <c r="C17" s="758"/>
      <c r="D17" s="758"/>
      <c r="E17" s="193" t="s">
        <v>134</v>
      </c>
      <c r="F17" s="190" t="s">
        <v>81</v>
      </c>
    </row>
    <row r="18" spans="1:6" ht="13.5" x14ac:dyDescent="0.25">
      <c r="A18" s="757" t="s">
        <v>231</v>
      </c>
      <c r="B18" s="758"/>
      <c r="C18" s="758"/>
      <c r="D18" s="758"/>
      <c r="E18" s="193" t="s">
        <v>230</v>
      </c>
      <c r="F18" s="190" t="s">
        <v>81</v>
      </c>
    </row>
    <row r="19" spans="1:6" ht="13.5" x14ac:dyDescent="0.25">
      <c r="A19" s="757" t="s">
        <v>149</v>
      </c>
      <c r="B19" s="758"/>
      <c r="C19" s="758"/>
      <c r="D19" s="758"/>
      <c r="E19" s="193" t="s">
        <v>150</v>
      </c>
      <c r="F19" s="190" t="s">
        <v>85</v>
      </c>
    </row>
    <row r="20" spans="1:6" x14ac:dyDescent="0.2">
      <c r="A20" s="478" t="s">
        <v>213</v>
      </c>
      <c r="B20" s="188"/>
      <c r="C20" s="188"/>
      <c r="D20" s="188"/>
      <c r="E20" s="193" t="s">
        <v>212</v>
      </c>
      <c r="F20" s="190" t="s">
        <v>85</v>
      </c>
    </row>
    <row r="21" spans="1:6" ht="13.5" x14ac:dyDescent="0.25">
      <c r="A21" s="759" t="s">
        <v>238</v>
      </c>
      <c r="B21" s="760"/>
      <c r="C21" s="760"/>
      <c r="D21" s="761"/>
      <c r="E21" s="194" t="s">
        <v>234</v>
      </c>
      <c r="F21" s="479" t="s">
        <v>236</v>
      </c>
    </row>
    <row r="22" spans="1:6" ht="14.25" thickBot="1" x14ac:dyDescent="0.3">
      <c r="A22" s="764" t="s">
        <v>239</v>
      </c>
      <c r="B22" s="765"/>
      <c r="C22" s="765"/>
      <c r="D22" s="765"/>
      <c r="E22" s="480" t="s">
        <v>235</v>
      </c>
      <c r="F22" s="481" t="s">
        <v>237</v>
      </c>
    </row>
    <row r="23" spans="1:6" x14ac:dyDescent="0.2">
      <c r="A23" s="195"/>
      <c r="B23" s="184"/>
      <c r="C23" s="184"/>
      <c r="D23" s="184"/>
      <c r="E23" s="184"/>
      <c r="F23" s="184"/>
    </row>
    <row r="24" spans="1:6" x14ac:dyDescent="0.2">
      <c r="A24" s="195"/>
      <c r="B24" s="184"/>
      <c r="C24" s="184"/>
      <c r="D24" s="184"/>
      <c r="E24" s="184"/>
      <c r="F24" s="184"/>
    </row>
    <row r="25" spans="1:6" ht="13.5" thickBot="1" x14ac:dyDescent="0.25">
      <c r="A25" s="184"/>
      <c r="B25" s="184"/>
      <c r="C25" s="184"/>
      <c r="D25" s="184"/>
      <c r="E25" s="184"/>
      <c r="F25" s="184"/>
    </row>
    <row r="26" spans="1:6" ht="13.5" thickBot="1" x14ac:dyDescent="0.25">
      <c r="A26" s="775" t="s">
        <v>70</v>
      </c>
      <c r="B26" s="776"/>
      <c r="C26" s="777"/>
      <c r="D26" s="184"/>
      <c r="E26" s="184"/>
      <c r="F26" s="184"/>
    </row>
    <row r="27" spans="1:6" ht="13.5" thickBot="1" x14ac:dyDescent="0.25">
      <c r="A27" s="196" t="s">
        <v>241</v>
      </c>
      <c r="B27" s="197">
        <v>1</v>
      </c>
      <c r="C27" s="198"/>
      <c r="D27" s="184"/>
      <c r="E27" s="184"/>
      <c r="F27" s="184"/>
    </row>
    <row r="28" spans="1:6" x14ac:dyDescent="0.2">
      <c r="A28" s="199" t="s">
        <v>240</v>
      </c>
      <c r="B28" s="200"/>
      <c r="C28" s="201"/>
      <c r="D28" s="184"/>
      <c r="E28" s="184"/>
      <c r="F28" s="184"/>
    </row>
    <row r="29" spans="1:6" x14ac:dyDescent="0.2">
      <c r="A29" s="202" t="s">
        <v>242</v>
      </c>
      <c r="B29" s="203">
        <v>1</v>
      </c>
      <c r="C29" s="204" t="s">
        <v>245</v>
      </c>
      <c r="D29" s="184"/>
      <c r="E29" s="184"/>
      <c r="F29" s="184"/>
    </row>
    <row r="30" spans="1:6" ht="25.5" x14ac:dyDescent="0.2">
      <c r="A30" s="205" t="s">
        <v>243</v>
      </c>
      <c r="B30" s="206" t="s">
        <v>246</v>
      </c>
      <c r="C30" s="207" t="s">
        <v>245</v>
      </c>
      <c r="D30" s="184"/>
      <c r="E30" s="184"/>
      <c r="F30" s="184"/>
    </row>
    <row r="31" spans="1:6" ht="27.75" customHeight="1" thickBot="1" x14ac:dyDescent="0.25">
      <c r="A31" s="208" t="s">
        <v>243</v>
      </c>
      <c r="B31" s="209" t="s">
        <v>247</v>
      </c>
      <c r="C31" s="210" t="s">
        <v>244</v>
      </c>
      <c r="D31" s="184"/>
      <c r="E31" s="184"/>
      <c r="F31" s="184"/>
    </row>
    <row r="32" spans="1:6" x14ac:dyDescent="0.2">
      <c r="A32" s="184"/>
      <c r="B32" s="211"/>
      <c r="C32" s="184"/>
      <c r="D32" s="184"/>
      <c r="E32" s="184"/>
      <c r="F32" s="184"/>
    </row>
    <row r="33" spans="1:6" ht="13.5" thickBot="1" x14ac:dyDescent="0.25">
      <c r="A33" s="184"/>
      <c r="B33" s="184"/>
      <c r="C33" s="184"/>
      <c r="D33" s="184"/>
      <c r="E33" s="212"/>
      <c r="F33" s="184"/>
    </row>
    <row r="34" spans="1:6" ht="13.5" thickBot="1" x14ac:dyDescent="0.25">
      <c r="A34" s="772" t="s">
        <v>248</v>
      </c>
      <c r="B34" s="773"/>
      <c r="C34" s="773"/>
      <c r="D34" s="774"/>
      <c r="E34" s="212"/>
      <c r="F34" s="184"/>
    </row>
    <row r="35" spans="1:6" ht="14.25" x14ac:dyDescent="0.25">
      <c r="A35" s="778" t="s">
        <v>24</v>
      </c>
      <c r="B35" s="766" t="s">
        <v>47</v>
      </c>
      <c r="C35" s="766"/>
      <c r="D35" s="767"/>
      <c r="E35" s="184"/>
      <c r="F35" s="184"/>
    </row>
    <row r="36" spans="1:6" ht="13.5" thickBot="1" x14ac:dyDescent="0.25">
      <c r="A36" s="779"/>
      <c r="B36" s="213" t="s">
        <v>31</v>
      </c>
      <c r="C36" s="770" t="s">
        <v>32</v>
      </c>
      <c r="D36" s="771"/>
      <c r="E36" s="184"/>
      <c r="F36" s="184"/>
    </row>
    <row r="37" spans="1:6" ht="14.25" x14ac:dyDescent="0.2">
      <c r="A37" s="214" t="s">
        <v>25</v>
      </c>
      <c r="B37" s="215" t="s">
        <v>33</v>
      </c>
      <c r="C37" s="768" t="s">
        <v>40</v>
      </c>
      <c r="D37" s="769"/>
      <c r="E37" s="184"/>
      <c r="F37" s="184"/>
    </row>
    <row r="38" spans="1:6" ht="14.25" x14ac:dyDescent="0.2">
      <c r="A38" s="214" t="s">
        <v>26</v>
      </c>
      <c r="B38" s="215" t="s">
        <v>34</v>
      </c>
      <c r="C38" s="768" t="s">
        <v>41</v>
      </c>
      <c r="D38" s="769"/>
      <c r="E38" s="184"/>
      <c r="F38" s="184"/>
    </row>
    <row r="39" spans="1:6" ht="14.25" x14ac:dyDescent="0.2">
      <c r="A39" s="214" t="s">
        <v>27</v>
      </c>
      <c r="B39" s="215" t="s">
        <v>35</v>
      </c>
      <c r="C39" s="768" t="s">
        <v>42</v>
      </c>
      <c r="D39" s="769"/>
      <c r="E39" s="184"/>
      <c r="F39" s="184"/>
    </row>
    <row r="40" spans="1:6" ht="14.25" x14ac:dyDescent="0.2">
      <c r="A40" s="214" t="s">
        <v>28</v>
      </c>
      <c r="B40" s="215" t="s">
        <v>36</v>
      </c>
      <c r="C40" s="768" t="s">
        <v>43</v>
      </c>
      <c r="D40" s="769"/>
      <c r="E40" s="184"/>
      <c r="F40" s="184"/>
    </row>
    <row r="41" spans="1:6" ht="14.25" x14ac:dyDescent="0.2">
      <c r="A41" s="214" t="s">
        <v>29</v>
      </c>
      <c r="B41" s="215" t="s">
        <v>37</v>
      </c>
      <c r="C41" s="768" t="s">
        <v>44</v>
      </c>
      <c r="D41" s="769"/>
      <c r="E41" s="184"/>
      <c r="F41" s="184"/>
    </row>
    <row r="42" spans="1:6" ht="14.25" x14ac:dyDescent="0.2">
      <c r="A42" s="214" t="s">
        <v>48</v>
      </c>
      <c r="B42" s="215" t="s">
        <v>38</v>
      </c>
      <c r="C42" s="768" t="s">
        <v>45</v>
      </c>
      <c r="D42" s="769"/>
      <c r="E42" s="184"/>
      <c r="F42" s="184"/>
    </row>
    <row r="43" spans="1:6" ht="15" thickBot="1" x14ac:dyDescent="0.25">
      <c r="A43" s="216" t="s">
        <v>30</v>
      </c>
      <c r="B43" s="217" t="s">
        <v>39</v>
      </c>
      <c r="C43" s="780" t="s">
        <v>46</v>
      </c>
      <c r="D43" s="781"/>
      <c r="E43" s="184"/>
      <c r="F43" s="184"/>
    </row>
    <row r="44" spans="1:6" x14ac:dyDescent="0.2">
      <c r="A44" s="184"/>
      <c r="B44" s="184"/>
      <c r="C44" s="184"/>
      <c r="D44" s="184"/>
      <c r="E44" s="184"/>
      <c r="F44" s="184"/>
    </row>
    <row r="45" spans="1:6" x14ac:dyDescent="0.2">
      <c r="A45" s="218"/>
      <c r="B45" s="184"/>
      <c r="C45" s="184"/>
      <c r="D45" s="184"/>
      <c r="E45" s="184"/>
      <c r="F45" s="184"/>
    </row>
    <row r="46" spans="1:6" x14ac:dyDescent="0.2">
      <c r="A46" s="184"/>
      <c r="B46" s="184"/>
      <c r="C46" s="184"/>
      <c r="D46" s="184"/>
      <c r="E46" s="184"/>
      <c r="F46" s="184"/>
    </row>
    <row r="47" spans="1:6" x14ac:dyDescent="0.2">
      <c r="A47" s="184"/>
      <c r="B47" s="184"/>
      <c r="C47" s="184"/>
      <c r="D47" s="184"/>
      <c r="E47" s="184"/>
      <c r="F47" s="184"/>
    </row>
    <row r="48" spans="1:6" x14ac:dyDescent="0.2">
      <c r="A48" s="184"/>
      <c r="B48" s="184"/>
      <c r="C48" s="184"/>
      <c r="D48" s="184"/>
      <c r="E48" s="184"/>
      <c r="F48" s="184"/>
    </row>
    <row r="49" spans="1:6" x14ac:dyDescent="0.2">
      <c r="A49" s="184"/>
      <c r="B49" s="184"/>
      <c r="C49" s="184"/>
      <c r="D49" s="184"/>
      <c r="E49" s="184"/>
      <c r="F49" s="184"/>
    </row>
    <row r="50" spans="1:6" x14ac:dyDescent="0.2">
      <c r="A50" s="184"/>
      <c r="B50" s="184"/>
      <c r="C50" s="184"/>
      <c r="D50" s="184"/>
      <c r="E50" s="184"/>
      <c r="F50" s="184"/>
    </row>
    <row r="51" spans="1:6" x14ac:dyDescent="0.2">
      <c r="A51" s="184"/>
      <c r="B51" s="184"/>
      <c r="C51" s="184"/>
      <c r="D51" s="184"/>
      <c r="E51" s="184"/>
      <c r="F51" s="184"/>
    </row>
    <row r="52" spans="1:6" x14ac:dyDescent="0.2">
      <c r="A52" s="184"/>
      <c r="B52" s="184"/>
      <c r="C52" s="184"/>
      <c r="D52" s="184"/>
      <c r="E52" s="184"/>
      <c r="F52" s="184"/>
    </row>
    <row r="53" spans="1:6" x14ac:dyDescent="0.2">
      <c r="A53" s="184"/>
      <c r="B53" s="184"/>
      <c r="C53" s="184"/>
      <c r="D53" s="184"/>
      <c r="E53" s="184"/>
      <c r="F53" s="184"/>
    </row>
    <row r="54" spans="1:6" x14ac:dyDescent="0.2">
      <c r="A54" s="184"/>
      <c r="B54" s="184"/>
      <c r="C54" s="184"/>
      <c r="D54" s="184"/>
      <c r="E54" s="184"/>
      <c r="F54" s="184"/>
    </row>
    <row r="55" spans="1:6" x14ac:dyDescent="0.2">
      <c r="A55" s="184"/>
      <c r="B55" s="184"/>
      <c r="C55" s="184"/>
      <c r="D55" s="184"/>
      <c r="E55" s="184"/>
      <c r="F55" s="184"/>
    </row>
    <row r="56" spans="1:6" x14ac:dyDescent="0.2">
      <c r="A56" s="184"/>
      <c r="B56" s="184"/>
      <c r="C56" s="184"/>
      <c r="D56" s="184"/>
      <c r="E56" s="184"/>
      <c r="F56" s="184"/>
    </row>
    <row r="57" spans="1:6" x14ac:dyDescent="0.2">
      <c r="A57" s="184"/>
      <c r="B57" s="184"/>
      <c r="C57" s="184"/>
      <c r="D57" s="184"/>
      <c r="E57" s="184"/>
      <c r="F57" s="184"/>
    </row>
    <row r="58" spans="1:6" x14ac:dyDescent="0.2">
      <c r="A58" s="184"/>
      <c r="B58" s="184"/>
      <c r="C58" s="184"/>
      <c r="D58" s="184"/>
      <c r="E58" s="184"/>
      <c r="F58" s="184"/>
    </row>
    <row r="59" spans="1:6" x14ac:dyDescent="0.2">
      <c r="A59" s="184"/>
      <c r="B59" s="184"/>
      <c r="C59" s="184"/>
      <c r="D59" s="184"/>
      <c r="E59" s="184"/>
      <c r="F59" s="184"/>
    </row>
    <row r="60" spans="1:6" x14ac:dyDescent="0.2">
      <c r="A60" s="184"/>
      <c r="B60" s="184"/>
      <c r="C60" s="184"/>
      <c r="D60" s="184"/>
      <c r="E60" s="184"/>
      <c r="F60" s="184"/>
    </row>
    <row r="61" spans="1:6" x14ac:dyDescent="0.2">
      <c r="A61" s="184"/>
      <c r="B61" s="184"/>
      <c r="C61" s="184"/>
      <c r="D61" s="184"/>
      <c r="E61" s="184"/>
      <c r="F61" s="184"/>
    </row>
    <row r="62" spans="1:6" x14ac:dyDescent="0.2">
      <c r="A62" s="184"/>
      <c r="B62" s="184"/>
      <c r="C62" s="184"/>
      <c r="D62" s="184"/>
      <c r="E62" s="184"/>
      <c r="F62" s="184"/>
    </row>
  </sheetData>
  <mergeCells count="31">
    <mergeCell ref="C43:D43"/>
    <mergeCell ref="C42:D42"/>
    <mergeCell ref="C41:D41"/>
    <mergeCell ref="C40:D40"/>
    <mergeCell ref="C37:D37"/>
    <mergeCell ref="C39:D39"/>
    <mergeCell ref="A22:D22"/>
    <mergeCell ref="B35:D35"/>
    <mergeCell ref="C38:D38"/>
    <mergeCell ref="C36:D36"/>
    <mergeCell ref="A34:D34"/>
    <mergeCell ref="A26:C26"/>
    <mergeCell ref="A35:A36"/>
    <mergeCell ref="A21:D21"/>
    <mergeCell ref="A13:D13"/>
    <mergeCell ref="A18:D18"/>
    <mergeCell ref="A11:D11"/>
    <mergeCell ref="A19:D19"/>
    <mergeCell ref="A14:D14"/>
    <mergeCell ref="A17:D17"/>
    <mergeCell ref="A16:D16"/>
    <mergeCell ref="A3:D3"/>
    <mergeCell ref="A15:D15"/>
    <mergeCell ref="A4:D4"/>
    <mergeCell ref="A5:D5"/>
    <mergeCell ref="A6:D6"/>
    <mergeCell ref="A10:D10"/>
    <mergeCell ref="A7:D7"/>
    <mergeCell ref="A8:D8"/>
    <mergeCell ref="A12:D12"/>
    <mergeCell ref="A9:D9"/>
  </mergeCells>
  <phoneticPr fontId="47" type="noConversion"/>
  <pageMargins left="0.7" right="0.7" top="0.78740157499999996" bottom="0.78740157499999996" header="0.3" footer="0.3"/>
  <pageSetup paperSize="9" orientation="portrait" r:id="rId1"/>
  <headerFooter>
    <oddHeader>&amp;C&amp;"Arial,Fett"&amp;14BEGRIFFE</oddHead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tabColor rgb="FF92D050"/>
    <pageSetUpPr fitToPage="1"/>
  </sheetPr>
  <dimension ref="A1:Z96"/>
  <sheetViews>
    <sheetView showGridLines="0" topLeftCell="A3" zoomScaleNormal="100" workbookViewId="0">
      <selection activeCell="E38" sqref="E38"/>
    </sheetView>
  </sheetViews>
  <sheetFormatPr baseColWidth="10" defaultRowHeight="12.75" x14ac:dyDescent="0.2"/>
  <cols>
    <col min="1" max="1" width="12.85546875" customWidth="1"/>
    <col min="2" max="2" width="9.28515625" style="1" customWidth="1"/>
    <col min="3" max="8" width="11.140625" style="1" customWidth="1"/>
    <col min="9" max="9" width="3.28515625" style="1" customWidth="1"/>
    <col min="10" max="10" width="22.28515625" style="1" customWidth="1"/>
    <col min="11" max="11" width="10.28515625" style="1" customWidth="1"/>
    <col min="12" max="12" width="9.28515625" style="1" customWidth="1"/>
    <col min="13" max="13" width="10" style="1" customWidth="1"/>
    <col min="14" max="14" width="43.7109375" customWidth="1"/>
    <col min="15" max="15" width="28.42578125" customWidth="1"/>
    <col min="16" max="16" width="45.140625" customWidth="1"/>
    <col min="17" max="17" width="10.7109375" style="262" customWidth="1"/>
    <col min="18" max="18" width="13.85546875" style="262" bestFit="1" customWidth="1"/>
    <col min="19" max="19" width="18.5703125" style="262" bestFit="1" customWidth="1"/>
    <col min="20" max="20" width="18.5703125" style="262" customWidth="1"/>
    <col min="21" max="21" width="18.5703125" style="262" bestFit="1" customWidth="1"/>
    <col min="22" max="22" width="18.5703125" style="262" customWidth="1"/>
    <col min="23" max="23" width="18.5703125" style="262" bestFit="1" customWidth="1"/>
    <col min="24" max="24" width="8.42578125" customWidth="1"/>
    <col min="25" max="25" width="16.140625" customWidth="1"/>
    <col min="26" max="26" width="13.140625" bestFit="1" customWidth="1"/>
  </cols>
  <sheetData>
    <row r="1" spans="1:23" ht="21" hidden="1" customHeight="1" x14ac:dyDescent="0.2">
      <c r="A1" s="895" t="s">
        <v>56</v>
      </c>
      <c r="B1" s="896"/>
      <c r="C1" s="896"/>
      <c r="D1" s="896"/>
      <c r="E1" s="896"/>
      <c r="F1" s="896"/>
      <c r="G1" s="896"/>
      <c r="H1" s="896"/>
      <c r="I1" s="896"/>
      <c r="J1" s="896"/>
      <c r="K1" s="896"/>
      <c r="L1" s="896"/>
      <c r="M1" s="896"/>
      <c r="N1" s="897"/>
    </row>
    <row r="2" spans="1:23" ht="36.75" hidden="1" customHeight="1" x14ac:dyDescent="0.2">
      <c r="A2" s="898"/>
      <c r="B2" s="899"/>
      <c r="C2" s="899"/>
      <c r="D2" s="899"/>
      <c r="E2" s="899"/>
      <c r="F2" s="899"/>
      <c r="G2" s="899"/>
      <c r="H2" s="899"/>
      <c r="I2" s="899"/>
      <c r="J2" s="899"/>
      <c r="K2" s="899"/>
      <c r="L2" s="899"/>
      <c r="M2" s="899"/>
      <c r="N2" s="900"/>
    </row>
    <row r="3" spans="1:23" ht="11.25" customHeight="1" thickBot="1" x14ac:dyDescent="0.25">
      <c r="A3" s="110"/>
      <c r="B3" s="110"/>
      <c r="C3" s="110"/>
      <c r="D3" s="110"/>
      <c r="E3" s="110"/>
      <c r="F3" s="110"/>
      <c r="G3" s="110"/>
      <c r="H3" s="111" t="str">
        <f>Einführung!L4</f>
        <v>v01.15</v>
      </c>
      <c r="I3" s="55"/>
      <c r="J3" s="55"/>
      <c r="K3" s="55"/>
      <c r="L3" s="55"/>
      <c r="M3" s="55"/>
      <c r="N3" s="55"/>
    </row>
    <row r="4" spans="1:23" ht="13.5" customHeight="1" x14ac:dyDescent="0.2">
      <c r="A4" s="809" t="s">
        <v>121</v>
      </c>
      <c r="B4" s="810"/>
      <c r="C4" s="815" t="str">
        <f>'Bemessungsregendaten, kfu'!E4</f>
        <v>Testprojekt</v>
      </c>
      <c r="D4" s="815"/>
      <c r="E4" s="815"/>
      <c r="F4" s="815"/>
      <c r="G4" s="815"/>
      <c r="H4" s="816"/>
      <c r="I4" s="54"/>
      <c r="J4" s="54"/>
      <c r="K4" s="54"/>
      <c r="L4" s="54"/>
      <c r="M4" s="54"/>
      <c r="N4" s="54"/>
    </row>
    <row r="5" spans="1:23" ht="13.5" customHeight="1" x14ac:dyDescent="0.2">
      <c r="A5" s="811" t="s">
        <v>119</v>
      </c>
      <c r="B5" s="812"/>
      <c r="C5" s="817" t="str">
        <f>'Bemessungsregendaten, kfu'!E5</f>
        <v>Max Mustermann</v>
      </c>
      <c r="D5" s="817"/>
      <c r="E5" s="817"/>
      <c r="F5" s="817"/>
      <c r="G5" s="817"/>
      <c r="H5" s="818"/>
      <c r="I5" s="51"/>
      <c r="J5" s="56"/>
      <c r="K5" s="56"/>
      <c r="L5" s="56"/>
      <c r="M5" s="56"/>
      <c r="N5" s="56"/>
      <c r="O5" s="32"/>
    </row>
    <row r="6" spans="1:23" ht="13.5" customHeight="1" thickBot="1" x14ac:dyDescent="0.25">
      <c r="A6" s="813" t="s">
        <v>120</v>
      </c>
      <c r="B6" s="814"/>
      <c r="C6" s="819" t="str">
        <f>'Bemessungsregendaten, kfu'!E6</f>
        <v>Testprojekt</v>
      </c>
      <c r="D6" s="819"/>
      <c r="E6" s="819"/>
      <c r="F6" s="819"/>
      <c r="G6" s="819"/>
      <c r="H6" s="820"/>
      <c r="I6" s="52"/>
      <c r="J6" s="56"/>
      <c r="K6" s="56"/>
      <c r="L6" s="56"/>
      <c r="M6" s="56"/>
      <c r="N6" s="56"/>
      <c r="O6" s="32"/>
    </row>
    <row r="7" spans="1:23" ht="6.75" customHeight="1" thickBot="1" x14ac:dyDescent="0.25">
      <c r="A7" s="838"/>
      <c r="B7" s="838"/>
      <c r="C7" s="838"/>
      <c r="D7" s="838"/>
      <c r="E7" s="838"/>
      <c r="F7" s="838"/>
      <c r="G7" s="838"/>
      <c r="H7" s="838"/>
      <c r="I7" s="52"/>
      <c r="J7" s="56"/>
      <c r="K7" s="56"/>
      <c r="L7" s="56"/>
      <c r="M7" s="56"/>
      <c r="N7" s="56"/>
      <c r="O7" s="32"/>
    </row>
    <row r="8" spans="1:23" ht="18.75" customHeight="1" thickBot="1" x14ac:dyDescent="0.25">
      <c r="A8" s="799" t="s">
        <v>106</v>
      </c>
      <c r="B8" s="800"/>
      <c r="C8" s="800"/>
      <c r="D8" s="800"/>
      <c r="E8" s="800"/>
      <c r="F8" s="800"/>
      <c r="G8" s="800"/>
      <c r="H8" s="801"/>
      <c r="I8" s="52"/>
      <c r="J8" s="56"/>
      <c r="K8" s="56"/>
      <c r="L8" s="56"/>
      <c r="M8" s="56"/>
      <c r="N8" s="56"/>
      <c r="O8" s="32"/>
    </row>
    <row r="9" spans="1:23" ht="13.5" thickBot="1" x14ac:dyDescent="0.25">
      <c r="A9" s="802" t="s">
        <v>141</v>
      </c>
      <c r="B9" s="803"/>
      <c r="C9" s="803"/>
      <c r="D9" s="803"/>
      <c r="E9" s="803"/>
      <c r="F9" s="803"/>
      <c r="G9" s="803"/>
      <c r="H9" s="804"/>
      <c r="I9" s="52"/>
      <c r="J9" s="56"/>
      <c r="K9" s="56"/>
      <c r="L9" s="56"/>
      <c r="M9" s="56"/>
      <c r="N9" s="56"/>
      <c r="O9" s="32"/>
    </row>
    <row r="10" spans="1:23" s="32" customFormat="1" ht="25.5" customHeight="1" thickBot="1" x14ac:dyDescent="0.25">
      <c r="A10" s="163" t="s">
        <v>260</v>
      </c>
      <c r="B10" s="786" t="s">
        <v>23</v>
      </c>
      <c r="C10" s="787"/>
      <c r="D10" s="146" t="s">
        <v>127</v>
      </c>
      <c r="E10" s="835" t="s">
        <v>123</v>
      </c>
      <c r="F10" s="836"/>
      <c r="G10" s="833" t="s">
        <v>124</v>
      </c>
      <c r="H10" s="834"/>
      <c r="I10" s="52"/>
      <c r="J10" s="56"/>
      <c r="K10" s="56"/>
      <c r="L10" s="56"/>
      <c r="M10" s="56"/>
      <c r="N10" s="56"/>
      <c r="Q10" s="263"/>
      <c r="R10" s="263"/>
      <c r="S10" s="263"/>
      <c r="T10" s="263"/>
      <c r="U10" s="263"/>
      <c r="V10" s="263"/>
      <c r="W10" s="263"/>
    </row>
    <row r="11" spans="1:23" s="32" customFormat="1" ht="23.25" customHeight="1" x14ac:dyDescent="0.2">
      <c r="A11" s="281" t="s">
        <v>57</v>
      </c>
      <c r="B11" s="831" t="s">
        <v>208</v>
      </c>
      <c r="C11" s="832"/>
      <c r="D11" s="282">
        <v>0.25</v>
      </c>
      <c r="E11" s="790">
        <v>500</v>
      </c>
      <c r="F11" s="791"/>
      <c r="G11" s="788">
        <f t="shared" ref="G11:G20" si="0">D11*E11</f>
        <v>125</v>
      </c>
      <c r="H11" s="789"/>
      <c r="I11" s="53"/>
      <c r="J11" s="54"/>
      <c r="K11" s="54"/>
      <c r="L11" s="12"/>
      <c r="M11" s="12"/>
      <c r="N11" s="23"/>
      <c r="O11"/>
      <c r="Q11" s="263"/>
      <c r="R11" s="263"/>
      <c r="S11" s="263"/>
      <c r="T11" s="263"/>
      <c r="U11" s="263"/>
      <c r="V11" s="263"/>
      <c r="W11" s="263"/>
    </row>
    <row r="12" spans="1:23" s="32" customFormat="1" ht="11.25" customHeight="1" x14ac:dyDescent="0.2">
      <c r="A12" s="147" t="s">
        <v>58</v>
      </c>
      <c r="B12" s="837" t="s">
        <v>270</v>
      </c>
      <c r="C12" s="837"/>
      <c r="D12" s="282">
        <v>0.9</v>
      </c>
      <c r="E12" s="790">
        <v>1000</v>
      </c>
      <c r="F12" s="791"/>
      <c r="G12" s="782">
        <f t="shared" si="0"/>
        <v>900</v>
      </c>
      <c r="H12" s="783"/>
      <c r="I12" s="59"/>
      <c r="J12" s="59"/>
      <c r="K12" s="59"/>
      <c r="L12" s="59"/>
      <c r="M12" s="59"/>
      <c r="N12" s="59"/>
      <c r="O12"/>
      <c r="Q12" s="263"/>
      <c r="R12" s="263"/>
      <c r="S12" s="263"/>
      <c r="T12" s="263"/>
      <c r="U12" s="263"/>
      <c r="V12" s="263"/>
      <c r="W12" s="263"/>
    </row>
    <row r="13" spans="1:23" s="32" customFormat="1" ht="11.25" customHeight="1" x14ac:dyDescent="0.2">
      <c r="A13" s="147" t="s">
        <v>59</v>
      </c>
      <c r="B13" s="792"/>
      <c r="C13" s="792"/>
      <c r="D13" s="282"/>
      <c r="E13" s="790"/>
      <c r="F13" s="791"/>
      <c r="G13" s="782">
        <f t="shared" si="0"/>
        <v>0</v>
      </c>
      <c r="H13" s="783"/>
      <c r="I13" s="57"/>
      <c r="J13" s="57"/>
      <c r="K13" s="57"/>
      <c r="L13" s="57"/>
      <c r="M13" s="57"/>
      <c r="N13" s="57"/>
      <c r="O13"/>
      <c r="Q13" s="263"/>
      <c r="R13" s="263"/>
      <c r="S13" s="263"/>
      <c r="T13" s="263"/>
      <c r="U13" s="263"/>
      <c r="V13" s="263"/>
      <c r="W13" s="263"/>
    </row>
    <row r="14" spans="1:23" s="32" customFormat="1" ht="11.25" x14ac:dyDescent="0.2">
      <c r="A14" s="147" t="s">
        <v>60</v>
      </c>
      <c r="B14" s="792"/>
      <c r="C14" s="792"/>
      <c r="D14" s="282"/>
      <c r="E14" s="790"/>
      <c r="F14" s="791"/>
      <c r="G14" s="782">
        <f t="shared" si="0"/>
        <v>0</v>
      </c>
      <c r="H14" s="783"/>
      <c r="I14" s="52"/>
      <c r="J14" s="56"/>
      <c r="K14" s="56"/>
      <c r="L14" s="56"/>
      <c r="M14" s="56"/>
      <c r="N14" s="56"/>
      <c r="Q14" s="263"/>
      <c r="R14" s="263"/>
      <c r="S14" s="263"/>
      <c r="T14" s="263"/>
      <c r="U14" s="263"/>
      <c r="V14" s="263"/>
      <c r="W14" s="263"/>
    </row>
    <row r="15" spans="1:23" s="32" customFormat="1" ht="11.25" x14ac:dyDescent="0.2">
      <c r="A15" s="147" t="s">
        <v>61</v>
      </c>
      <c r="B15" s="792"/>
      <c r="C15" s="792"/>
      <c r="D15" s="282"/>
      <c r="E15" s="790"/>
      <c r="F15" s="791"/>
      <c r="G15" s="782">
        <f t="shared" si="0"/>
        <v>0</v>
      </c>
      <c r="H15" s="783"/>
      <c r="I15" s="52"/>
      <c r="J15" s="56"/>
      <c r="K15" s="56"/>
      <c r="L15" s="56"/>
      <c r="M15" s="56"/>
      <c r="N15" s="56"/>
      <c r="Q15" s="263"/>
      <c r="R15" s="263"/>
      <c r="S15" s="263"/>
      <c r="T15" s="263"/>
      <c r="U15" s="263"/>
      <c r="V15" s="263"/>
      <c r="W15" s="263"/>
    </row>
    <row r="16" spans="1:23" s="32" customFormat="1" ht="11.25" x14ac:dyDescent="0.2">
      <c r="A16" s="147" t="s">
        <v>272</v>
      </c>
      <c r="B16" s="792"/>
      <c r="C16" s="792"/>
      <c r="D16" s="282"/>
      <c r="E16" s="790"/>
      <c r="F16" s="791"/>
      <c r="G16" s="782">
        <f t="shared" si="0"/>
        <v>0</v>
      </c>
      <c r="H16" s="783"/>
      <c r="I16" s="52"/>
      <c r="J16" s="56"/>
      <c r="K16" s="56"/>
      <c r="L16" s="56"/>
      <c r="M16" s="56"/>
      <c r="N16" s="56"/>
      <c r="Q16" s="263"/>
      <c r="R16" s="263"/>
      <c r="S16" s="263"/>
      <c r="T16" s="263"/>
      <c r="U16" s="263"/>
      <c r="V16" s="263"/>
      <c r="W16" s="263"/>
    </row>
    <row r="17" spans="1:26" s="32" customFormat="1" ht="11.25" x14ac:dyDescent="0.2">
      <c r="A17" s="147" t="s">
        <v>273</v>
      </c>
      <c r="B17" s="793"/>
      <c r="C17" s="794"/>
      <c r="D17" s="282"/>
      <c r="E17" s="790"/>
      <c r="F17" s="791"/>
      <c r="G17" s="782">
        <f>D17*E17</f>
        <v>0</v>
      </c>
      <c r="H17" s="783"/>
      <c r="I17" s="52"/>
      <c r="J17" s="56"/>
      <c r="K17" s="56"/>
      <c r="L17" s="56"/>
      <c r="M17" s="56"/>
      <c r="N17" s="56"/>
      <c r="Q17" s="263"/>
      <c r="R17" s="263"/>
      <c r="S17" s="263"/>
      <c r="T17" s="263"/>
      <c r="U17" s="263"/>
      <c r="V17" s="263"/>
      <c r="W17" s="263"/>
    </row>
    <row r="18" spans="1:26" s="32" customFormat="1" ht="11.25" x14ac:dyDescent="0.2">
      <c r="A18" s="147" t="s">
        <v>280</v>
      </c>
      <c r="B18" s="793"/>
      <c r="C18" s="794"/>
      <c r="D18" s="282"/>
      <c r="E18" s="790"/>
      <c r="F18" s="791"/>
      <c r="G18" s="782">
        <f>D18*E18</f>
        <v>0</v>
      </c>
      <c r="H18" s="783"/>
      <c r="I18" s="52"/>
      <c r="J18" s="56"/>
      <c r="K18" s="56"/>
      <c r="L18" s="56"/>
      <c r="M18" s="56"/>
      <c r="N18" s="56"/>
      <c r="Q18" s="263"/>
      <c r="R18" s="263"/>
      <c r="S18" s="263"/>
      <c r="T18" s="263"/>
      <c r="U18" s="263"/>
      <c r="V18" s="263"/>
      <c r="W18" s="263"/>
    </row>
    <row r="19" spans="1:26" s="32" customFormat="1" ht="11.25" x14ac:dyDescent="0.2">
      <c r="A19" s="147" t="s">
        <v>281</v>
      </c>
      <c r="B19" s="793"/>
      <c r="C19" s="794"/>
      <c r="D19" s="282"/>
      <c r="E19" s="790"/>
      <c r="F19" s="791"/>
      <c r="G19" s="782">
        <f>D19*E19</f>
        <v>0</v>
      </c>
      <c r="H19" s="783"/>
      <c r="I19" s="52"/>
      <c r="J19" s="288"/>
      <c r="K19" s="56"/>
      <c r="L19" s="56"/>
      <c r="M19" s="56"/>
      <c r="N19" s="56"/>
      <c r="Q19" s="263"/>
      <c r="R19" s="263"/>
      <c r="S19" s="263"/>
      <c r="T19" s="263"/>
      <c r="U19" s="263"/>
      <c r="V19" s="263"/>
      <c r="W19" s="263"/>
    </row>
    <row r="20" spans="1:26" s="32" customFormat="1" ht="12" thickBot="1" x14ac:dyDescent="0.25">
      <c r="A20" s="147" t="s">
        <v>282</v>
      </c>
      <c r="B20" s="792"/>
      <c r="C20" s="792"/>
      <c r="D20" s="282"/>
      <c r="E20" s="790"/>
      <c r="F20" s="791"/>
      <c r="G20" s="784">
        <f t="shared" si="0"/>
        <v>0</v>
      </c>
      <c r="H20" s="785"/>
      <c r="I20" s="52"/>
      <c r="J20" s="288"/>
      <c r="K20" s="56"/>
      <c r="L20" s="56"/>
      <c r="M20" s="56"/>
      <c r="N20" s="56"/>
      <c r="Q20" s="263"/>
      <c r="R20" s="263"/>
      <c r="S20" s="263"/>
      <c r="T20" s="263"/>
      <c r="U20" s="263"/>
      <c r="V20" s="263"/>
      <c r="W20" s="263"/>
    </row>
    <row r="21" spans="1:26" ht="13.5" thickBot="1" x14ac:dyDescent="0.25">
      <c r="A21" s="148"/>
      <c r="B21" s="923" t="s">
        <v>128</v>
      </c>
      <c r="C21" s="924"/>
      <c r="D21" s="925"/>
      <c r="E21" s="944">
        <f>SUM(E11:F20)</f>
        <v>1500</v>
      </c>
      <c r="F21" s="945"/>
      <c r="G21" s="944">
        <f>SUM(G11:H20)</f>
        <v>1025</v>
      </c>
      <c r="H21" s="945"/>
      <c r="I21" s="53"/>
      <c r="J21" s="54"/>
      <c r="K21" s="54"/>
      <c r="L21" s="12"/>
      <c r="M21" s="12"/>
      <c r="N21" s="23"/>
    </row>
    <row r="22" spans="1:26" ht="3.75" customHeight="1" thickBot="1" x14ac:dyDescent="0.25">
      <c r="A22" s="102"/>
      <c r="B22" s="103"/>
      <c r="C22" s="103"/>
      <c r="D22" s="103"/>
      <c r="E22" s="103"/>
      <c r="F22" s="103"/>
      <c r="G22" s="12"/>
      <c r="H22" s="98"/>
      <c r="I22" s="59"/>
      <c r="J22" s="59"/>
      <c r="K22" s="59"/>
      <c r="L22" s="59"/>
      <c r="M22" s="59"/>
      <c r="N22" s="59"/>
    </row>
    <row r="23" spans="1:26" ht="13.5" customHeight="1" x14ac:dyDescent="0.2">
      <c r="A23" s="948" t="s">
        <v>118</v>
      </c>
      <c r="B23" s="949"/>
      <c r="C23" s="949"/>
      <c r="D23" s="141" t="s">
        <v>129</v>
      </c>
      <c r="E23" s="930">
        <v>1.0000000000000001E-5</v>
      </c>
      <c r="F23" s="931"/>
      <c r="G23" s="952"/>
      <c r="H23" s="953"/>
      <c r="I23" s="57"/>
      <c r="J23" s="57"/>
      <c r="K23" s="57"/>
      <c r="L23" s="57"/>
      <c r="M23" s="57"/>
      <c r="N23" s="57"/>
    </row>
    <row r="24" spans="1:26" ht="10.5" customHeight="1" x14ac:dyDescent="0.2">
      <c r="A24" s="950" t="s">
        <v>135</v>
      </c>
      <c r="B24" s="951"/>
      <c r="C24" s="951"/>
      <c r="D24" s="142" t="s">
        <v>136</v>
      </c>
      <c r="E24" s="827">
        <v>1</v>
      </c>
      <c r="F24" s="828"/>
      <c r="G24" s="952"/>
      <c r="H24" s="953"/>
      <c r="I24" s="57"/>
      <c r="J24" s="57"/>
      <c r="K24" s="57"/>
      <c r="L24" s="57"/>
      <c r="M24" s="57"/>
      <c r="N24" s="57"/>
    </row>
    <row r="25" spans="1:26" ht="12.75" customHeight="1" x14ac:dyDescent="0.2">
      <c r="A25" s="938" t="s">
        <v>51</v>
      </c>
      <c r="B25" s="939"/>
      <c r="C25" s="939"/>
      <c r="D25" s="143" t="s">
        <v>66</v>
      </c>
      <c r="E25" s="928">
        <v>1</v>
      </c>
      <c r="F25" s="929"/>
      <c r="G25" s="952"/>
      <c r="H25" s="953"/>
      <c r="I25" s="57"/>
      <c r="J25" s="57"/>
      <c r="K25" s="57"/>
      <c r="L25" s="57"/>
      <c r="M25" s="57"/>
      <c r="N25" s="57"/>
      <c r="O25" s="23"/>
      <c r="P25" s="22"/>
      <c r="S25" s="264"/>
      <c r="T25" s="264"/>
      <c r="U25" s="264"/>
      <c r="V25" s="264"/>
      <c r="W25" s="264"/>
      <c r="X25" s="24"/>
      <c r="Y25" s="25"/>
      <c r="Z25" s="25"/>
    </row>
    <row r="26" spans="1:26" x14ac:dyDescent="0.2">
      <c r="A26" s="946" t="s">
        <v>137</v>
      </c>
      <c r="B26" s="947"/>
      <c r="C26" s="947"/>
      <c r="D26" s="65" t="s">
        <v>207</v>
      </c>
      <c r="E26" s="829">
        <v>140</v>
      </c>
      <c r="F26" s="830"/>
      <c r="G26" s="952"/>
      <c r="H26" s="953"/>
      <c r="I26" s="57"/>
      <c r="J26" s="57"/>
      <c r="K26" s="57"/>
      <c r="L26" s="57"/>
      <c r="M26" s="57"/>
      <c r="N26" s="57"/>
      <c r="O26" s="23"/>
      <c r="P26" s="22"/>
    </row>
    <row r="27" spans="1:26" x14ac:dyDescent="0.2">
      <c r="A27" s="940" t="s">
        <v>138</v>
      </c>
      <c r="B27" s="941"/>
      <c r="C27" s="941"/>
      <c r="D27" s="144" t="s">
        <v>117</v>
      </c>
      <c r="E27" s="932">
        <f>G21</f>
        <v>1025</v>
      </c>
      <c r="F27" s="933"/>
      <c r="G27" s="952"/>
      <c r="H27" s="953"/>
      <c r="I27" s="57"/>
      <c r="J27" s="57"/>
      <c r="K27" s="57"/>
      <c r="L27" s="57"/>
      <c r="M27" s="57"/>
      <c r="N27" s="57"/>
      <c r="O27" s="23"/>
      <c r="P27" s="22"/>
    </row>
    <row r="28" spans="1:26" ht="14.25" customHeight="1" thickBot="1" x14ac:dyDescent="0.25">
      <c r="A28" s="954" t="s">
        <v>49</v>
      </c>
      <c r="B28" s="955"/>
      <c r="C28" s="955"/>
      <c r="D28" s="145" t="s">
        <v>130</v>
      </c>
      <c r="E28" s="942">
        <f>G21+E26</f>
        <v>1165</v>
      </c>
      <c r="F28" s="943"/>
      <c r="G28" s="952"/>
      <c r="H28" s="953"/>
      <c r="I28" s="57"/>
      <c r="J28" s="57"/>
      <c r="K28" s="57"/>
      <c r="L28" s="57"/>
      <c r="M28" s="57"/>
      <c r="N28" s="57"/>
      <c r="O28" s="9"/>
      <c r="P28" s="292"/>
      <c r="Q28" s="293"/>
      <c r="R28" s="293"/>
      <c r="S28" s="293"/>
      <c r="T28" s="293"/>
      <c r="U28" s="293"/>
      <c r="V28" s="293"/>
      <c r="W28" s="293"/>
    </row>
    <row r="29" spans="1:26" ht="4.5" customHeight="1" thickBot="1" x14ac:dyDescent="0.25">
      <c r="A29" s="934"/>
      <c r="B29" s="935"/>
      <c r="C29" s="935"/>
      <c r="D29" s="935"/>
      <c r="E29" s="935"/>
      <c r="F29" s="935"/>
      <c r="G29" s="936"/>
      <c r="H29" s="937"/>
      <c r="I29" s="58"/>
      <c r="J29" s="58"/>
      <c r="K29" s="58"/>
      <c r="L29" s="58"/>
      <c r="M29" s="58"/>
      <c r="N29" s="58"/>
      <c r="O29" s="9"/>
      <c r="P29" s="292"/>
      <c r="Q29" s="293"/>
      <c r="R29" s="293"/>
      <c r="S29" s="293"/>
      <c r="T29" s="293"/>
      <c r="U29" s="293"/>
      <c r="V29" s="293"/>
      <c r="W29" s="293"/>
    </row>
    <row r="30" spans="1:26" ht="13.5" customHeight="1" thickBot="1" x14ac:dyDescent="0.25">
      <c r="A30" s="824" t="s">
        <v>68</v>
      </c>
      <c r="B30" s="825"/>
      <c r="C30" s="825"/>
      <c r="D30" s="825"/>
      <c r="E30" s="825"/>
      <c r="F30" s="825"/>
      <c r="G30" s="825"/>
      <c r="H30" s="826"/>
      <c r="I30" s="55"/>
      <c r="J30" s="55"/>
      <c r="K30" s="55"/>
      <c r="L30" s="55"/>
      <c r="M30" s="55"/>
      <c r="N30" s="55"/>
      <c r="P30" s="292"/>
      <c r="Q30" s="293"/>
      <c r="R30" s="293"/>
      <c r="S30" s="293"/>
      <c r="T30" s="293"/>
      <c r="U30" s="293"/>
      <c r="V30" s="293"/>
      <c r="W30" s="293"/>
      <c r="Y30" s="9"/>
    </row>
    <row r="31" spans="1:26" s="32" customFormat="1" ht="9.9499999999999993" customHeight="1" x14ac:dyDescent="0.2">
      <c r="A31" s="139"/>
      <c r="B31" s="140"/>
      <c r="C31" s="906" t="s">
        <v>54</v>
      </c>
      <c r="D31" s="907"/>
      <c r="E31" s="914" t="s">
        <v>53</v>
      </c>
      <c r="F31" s="915"/>
      <c r="G31" s="916" t="s">
        <v>55</v>
      </c>
      <c r="H31" s="917"/>
      <c r="I31" s="44"/>
      <c r="J31" s="44"/>
      <c r="K31" s="912"/>
      <c r="L31" s="912"/>
      <c r="M31" s="44"/>
      <c r="N31" s="44"/>
      <c r="P31" s="294"/>
      <c r="Q31" s="295"/>
      <c r="R31" s="295"/>
      <c r="S31" s="296" t="s">
        <v>54</v>
      </c>
      <c r="T31" s="296"/>
      <c r="U31" s="296" t="s">
        <v>53</v>
      </c>
      <c r="V31" s="296"/>
      <c r="W31" s="296" t="s">
        <v>55</v>
      </c>
      <c r="X31" s="34"/>
      <c r="Y31" s="34"/>
      <c r="Z31" s="34"/>
    </row>
    <row r="32" spans="1:26" s="32" customFormat="1" ht="9.9499999999999993" customHeight="1" x14ac:dyDescent="0.2">
      <c r="A32" s="137"/>
      <c r="B32" s="138"/>
      <c r="C32" s="908" t="s">
        <v>250</v>
      </c>
      <c r="D32" s="909"/>
      <c r="E32" s="918" t="s">
        <v>251</v>
      </c>
      <c r="F32" s="919"/>
      <c r="G32" s="920" t="s">
        <v>249</v>
      </c>
      <c r="H32" s="921"/>
      <c r="I32" s="44"/>
      <c r="J32" s="44"/>
      <c r="K32" s="124"/>
      <c r="L32" s="124"/>
      <c r="M32" s="44"/>
      <c r="N32" s="44"/>
      <c r="P32" s="294"/>
      <c r="Q32" s="295"/>
      <c r="R32" s="295"/>
      <c r="S32" s="296"/>
      <c r="T32" s="296"/>
      <c r="U32" s="296"/>
      <c r="V32" s="296"/>
      <c r="W32" s="296"/>
      <c r="X32" s="34"/>
      <c r="Y32" s="34"/>
      <c r="Z32" s="34"/>
    </row>
    <row r="33" spans="1:25" s="32" customFormat="1" ht="9.9499999999999993" customHeight="1" x14ac:dyDescent="0.2">
      <c r="A33" s="842" t="s">
        <v>52</v>
      </c>
      <c r="B33" s="843"/>
      <c r="C33" s="926">
        <v>1</v>
      </c>
      <c r="D33" s="927"/>
      <c r="E33" s="910">
        <v>5</v>
      </c>
      <c r="F33" s="911"/>
      <c r="G33" s="910">
        <v>30</v>
      </c>
      <c r="H33" s="911"/>
      <c r="I33" s="45"/>
      <c r="J33" s="46"/>
      <c r="K33" s="913"/>
      <c r="L33" s="913"/>
      <c r="M33" s="45"/>
      <c r="N33" s="45"/>
      <c r="O33" s="41"/>
      <c r="P33" s="294"/>
      <c r="Q33" s="295"/>
      <c r="R33" s="297" t="s">
        <v>255</v>
      </c>
      <c r="S33" s="297" t="s">
        <v>126</v>
      </c>
      <c r="T33" s="297"/>
      <c r="U33" s="297" t="s">
        <v>126</v>
      </c>
      <c r="V33" s="297"/>
      <c r="W33" s="295" t="s">
        <v>126</v>
      </c>
      <c r="Y33" s="35"/>
    </row>
    <row r="34" spans="1:25" s="39" customFormat="1" ht="45" x14ac:dyDescent="0.2">
      <c r="A34" s="840" t="s">
        <v>1</v>
      </c>
      <c r="B34" s="841"/>
      <c r="C34" s="118" t="s">
        <v>114</v>
      </c>
      <c r="D34" s="119" t="s">
        <v>113</v>
      </c>
      <c r="E34" s="122" t="s">
        <v>114</v>
      </c>
      <c r="F34" s="123" t="s">
        <v>113</v>
      </c>
      <c r="G34" s="120" t="s">
        <v>114</v>
      </c>
      <c r="H34" s="121" t="s">
        <v>113</v>
      </c>
      <c r="I34" s="46"/>
      <c r="J34" s="46"/>
      <c r="L34" s="46"/>
      <c r="M34" s="46"/>
      <c r="N34" s="46"/>
      <c r="O34" s="38"/>
      <c r="P34" s="298"/>
      <c r="Q34" s="299" t="s">
        <v>2</v>
      </c>
      <c r="R34" s="300" t="s">
        <v>171</v>
      </c>
      <c r="S34" s="300" t="s">
        <v>173</v>
      </c>
      <c r="T34" s="300" t="s">
        <v>172</v>
      </c>
      <c r="U34" s="300" t="s">
        <v>174</v>
      </c>
      <c r="V34" s="300" t="s">
        <v>256</v>
      </c>
      <c r="W34" s="301" t="s">
        <v>257</v>
      </c>
      <c r="Y34" s="104"/>
    </row>
    <row r="35" spans="1:25" s="32" customFormat="1" ht="9.9499999999999993" customHeight="1" x14ac:dyDescent="0.2">
      <c r="A35" s="842" t="s">
        <v>72</v>
      </c>
      <c r="B35" s="843"/>
      <c r="C35" s="42">
        <v>0</v>
      </c>
      <c r="D35" s="73">
        <v>0</v>
      </c>
      <c r="E35" s="42">
        <v>0</v>
      </c>
      <c r="F35" s="74">
        <v>0</v>
      </c>
      <c r="G35" s="42">
        <v>0</v>
      </c>
      <c r="H35" s="73">
        <v>0</v>
      </c>
      <c r="I35" s="47"/>
      <c r="J35" s="48"/>
      <c r="K35" s="49"/>
      <c r="L35" s="48"/>
      <c r="M35" s="47"/>
      <c r="N35" s="47"/>
      <c r="O35" s="36"/>
      <c r="P35" s="302"/>
      <c r="Q35" s="303">
        <v>0</v>
      </c>
      <c r="R35" s="304">
        <v>0</v>
      </c>
      <c r="S35" s="305">
        <v>0</v>
      </c>
      <c r="T35" s="305"/>
      <c r="U35" s="305">
        <v>0</v>
      </c>
      <c r="V35" s="305"/>
      <c r="W35" s="305">
        <v>0</v>
      </c>
      <c r="Y35" s="105"/>
    </row>
    <row r="36" spans="1:25" s="32" customFormat="1" ht="9.9499999999999993" customHeight="1" x14ac:dyDescent="0.2">
      <c r="A36" s="805" t="s">
        <v>3</v>
      </c>
      <c r="B36" s="806"/>
      <c r="C36" s="42">
        <f>HLOOKUP($C$33,'Bemessungsregendaten, kfu'!$D$20:$N$41,2,0)</f>
        <v>6.7</v>
      </c>
      <c r="D36" s="37">
        <f>(S36/1000)*$E$28</f>
        <v>7.5955000000000004</v>
      </c>
      <c r="E36" s="42">
        <f>IF($E$33=0, 0,HLOOKUP($E$33,'Bemessungsregendaten, kfu'!$D$20:$N$41,2,0))</f>
        <v>11.9</v>
      </c>
      <c r="F36" s="37">
        <f t="shared" ref="F36:F56" si="1">(U36/1000)*$E$28</f>
        <v>13.569500000000001</v>
      </c>
      <c r="G36" s="42">
        <f>IF($G$33=0,0,HLOOKUP($G$33,'Bemessungsregendaten, kfu'!$D$20:$N$41,2,0))</f>
        <v>17.600000000000001</v>
      </c>
      <c r="H36" s="37">
        <f t="shared" ref="H36:H56" si="2">(W36/1000)*$E$28</f>
        <v>20.126000000000001</v>
      </c>
      <c r="I36" s="50"/>
      <c r="J36" s="50"/>
      <c r="K36" s="49"/>
      <c r="L36" s="48"/>
      <c r="M36" s="50"/>
      <c r="N36" s="50"/>
      <c r="P36" s="294"/>
      <c r="Q36" s="306">
        <v>5</v>
      </c>
      <c r="R36" s="304">
        <f>Q36*$E$25*(($E$23*$C$60)*$E$24)*($E$26/$E$28)*60000</f>
        <v>0.18025751072961374</v>
      </c>
      <c r="S36" s="305">
        <f>IF((C36*$E$24)-(R36)&gt;0, (C36*$E$24)-R36, 0)</f>
        <v>6.5197424892703868</v>
      </c>
      <c r="T36" s="305">
        <f>Q36*$E$25*(($E$23*$E$60)*$E$24)*($E$26/$E$28)*60000</f>
        <v>0.25236051502145923</v>
      </c>
      <c r="U36" s="305">
        <f>IF((E36*$E$24)-T36&gt;0, (E36*$E$24)-T36, 0)</f>
        <v>11.647639484978541</v>
      </c>
      <c r="V36" s="305">
        <f>IF(G36&gt;0, Q36*$E$25*(($E$23*$G$60)*$E$24)*($E$26/$E$28)*60000,"0")</f>
        <v>0.32446351931330469</v>
      </c>
      <c r="W36" s="305">
        <f>IF((G36*$E$24)-V36&gt;0, (G36*$E$24)-V36, 0)</f>
        <v>17.275536480686696</v>
      </c>
      <c r="Y36" s="105"/>
    </row>
    <row r="37" spans="1:25" s="32" customFormat="1" ht="9.9499999999999993" customHeight="1" x14ac:dyDescent="0.2">
      <c r="A37" s="805" t="s">
        <v>176</v>
      </c>
      <c r="B37" s="806"/>
      <c r="C37" s="42">
        <f>HLOOKUP($C$33,'Bemessungsregendaten, kfu'!$D$20:$N$41,3,0)</f>
        <v>8.4</v>
      </c>
      <c r="D37" s="37">
        <f t="shared" ref="D37:D56" si="3">(S37/1000)*$E$28</f>
        <v>9.3660000000000014</v>
      </c>
      <c r="E37" s="42">
        <f>IF($E$33=0, 0,HLOOKUP($E$33,'Bemessungsregendaten, kfu'!$D$20:$N$41,3,0))</f>
        <v>15</v>
      </c>
      <c r="F37" s="37">
        <f t="shared" si="1"/>
        <v>16.886999999999997</v>
      </c>
      <c r="G37" s="42">
        <f>IF($G$33=0,0,HLOOKUP($G$33,'Bemessungsregendaten, kfu'!$D$20:$N$41,3,0))</f>
        <v>22.1</v>
      </c>
      <c r="H37" s="37">
        <f t="shared" si="2"/>
        <v>24.990500000000001</v>
      </c>
      <c r="I37" s="50"/>
      <c r="J37" s="50"/>
      <c r="K37" s="49"/>
      <c r="L37" s="48"/>
      <c r="M37" s="50"/>
      <c r="N37" s="50"/>
      <c r="P37" s="294"/>
      <c r="Q37" s="306">
        <v>10</v>
      </c>
      <c r="R37" s="304">
        <f t="shared" ref="R37:R56" si="4">Q37*$E$25*(($E$23*$C$60)*$E$24)*($E$26/$E$28)*60000</f>
        <v>0.36051502145922748</v>
      </c>
      <c r="S37" s="305">
        <f t="shared" ref="S37:S56" si="5">IF((C37*$E$24)-(R37)&gt;0, (C37*$E$24)-R37, 0)</f>
        <v>8.0394849785407736</v>
      </c>
      <c r="T37" s="305">
        <f t="shared" ref="T37:T56" si="6">Q37*$E$25*(($E$23*$E$60)*$E$24)*($E$26/$E$28)*60000</f>
        <v>0.50472103004291846</v>
      </c>
      <c r="U37" s="305">
        <f t="shared" ref="U37:U56" si="7">IF((E37*$E$24)-T37&gt;0, (E37*$E$24)-T37, 0)</f>
        <v>14.495278969957081</v>
      </c>
      <c r="V37" s="305">
        <f t="shared" ref="V37:V56" si="8">IF(G37&gt;0, Q37*$E$25*(($E$23*$G$60)*$E$24)*($E$26/$E$28)*60000,"0")</f>
        <v>0.64892703862660939</v>
      </c>
      <c r="W37" s="305">
        <f t="shared" ref="W37:W56" si="9">IF((G37*$E$24)-V37&gt;0, (G37*$E$24)-V37, 0)</f>
        <v>21.451072961373391</v>
      </c>
      <c r="Y37" s="106"/>
    </row>
    <row r="38" spans="1:25" s="32" customFormat="1" ht="9.9499999999999993" customHeight="1" x14ac:dyDescent="0.2">
      <c r="A38" s="805" t="s">
        <v>4</v>
      </c>
      <c r="B38" s="806"/>
      <c r="C38" s="42">
        <f>HLOOKUP($C$33,'Bemessungsregendaten, kfu'!$D$20:$N$41,4,0)</f>
        <v>9.6</v>
      </c>
      <c r="D38" s="37">
        <f t="shared" si="3"/>
        <v>10.554</v>
      </c>
      <c r="E38" s="42">
        <f>IF($E$33=0, 0,HLOOKUP($E$33,'Bemessungsregendaten, kfu'!$D$20:$N$41,4,0))</f>
        <v>17.2</v>
      </c>
      <c r="F38" s="37">
        <f t="shared" si="1"/>
        <v>19.155999999999999</v>
      </c>
      <c r="G38" s="42">
        <f>IF($G$33=0,0,HLOOKUP($G$33,'Bemessungsregendaten, kfu'!$D$20:$N$41,4,0))</f>
        <v>25.7</v>
      </c>
      <c r="H38" s="37">
        <f t="shared" si="2"/>
        <v>28.806499999999996</v>
      </c>
      <c r="I38" s="50"/>
      <c r="J38" s="50"/>
      <c r="K38" s="49"/>
      <c r="L38" s="48"/>
      <c r="M38" s="50"/>
      <c r="N38" s="50"/>
      <c r="P38" s="294"/>
      <c r="Q38" s="306">
        <v>15</v>
      </c>
      <c r="R38" s="304">
        <f t="shared" si="4"/>
        <v>0.54077253218884125</v>
      </c>
      <c r="S38" s="305">
        <f t="shared" si="5"/>
        <v>9.0592274678111586</v>
      </c>
      <c r="T38" s="305">
        <f t="shared" si="6"/>
        <v>0.75708154506437775</v>
      </c>
      <c r="U38" s="305">
        <f t="shared" si="7"/>
        <v>16.442918454935622</v>
      </c>
      <c r="V38" s="305">
        <f t="shared" si="8"/>
        <v>0.97339055793991425</v>
      </c>
      <c r="W38" s="305">
        <f t="shared" si="9"/>
        <v>24.726609442060084</v>
      </c>
      <c r="Y38" s="106"/>
    </row>
    <row r="39" spans="1:25" s="32" customFormat="1" ht="9.9499999999999993" customHeight="1" x14ac:dyDescent="0.2">
      <c r="A39" s="805" t="s">
        <v>5</v>
      </c>
      <c r="B39" s="806"/>
      <c r="C39" s="42">
        <f>HLOOKUP($C$33,'Bemessungsregendaten, kfu'!$D$20:$N$41,5,0)</f>
        <v>10.6</v>
      </c>
      <c r="D39" s="37">
        <f t="shared" si="3"/>
        <v>11.508999999999999</v>
      </c>
      <c r="E39" s="42">
        <f>IF($E$33=0, 0,HLOOKUP($E$33,'Bemessungsregendaten, kfu'!$D$20:$N$41,5,0))</f>
        <v>18.899999999999999</v>
      </c>
      <c r="F39" s="37">
        <f t="shared" si="1"/>
        <v>20.842499999999998</v>
      </c>
      <c r="G39" s="42">
        <f>IF($G$33=0,0,HLOOKUP($G$33,'Bemessungsregendaten, kfu'!$D$20:$N$41,5,0))</f>
        <v>28.1</v>
      </c>
      <c r="H39" s="37">
        <f t="shared" si="2"/>
        <v>31.224499999999999</v>
      </c>
      <c r="I39" s="50"/>
      <c r="J39" s="50"/>
      <c r="K39" s="49"/>
      <c r="L39" s="48"/>
      <c r="M39" s="50"/>
      <c r="N39" s="50"/>
      <c r="P39" s="294"/>
      <c r="Q39" s="306">
        <v>20</v>
      </c>
      <c r="R39" s="304">
        <f t="shared" si="4"/>
        <v>0.72103004291845496</v>
      </c>
      <c r="S39" s="305">
        <f t="shared" si="5"/>
        <v>9.8789699570815444</v>
      </c>
      <c r="T39" s="305">
        <f t="shared" si="6"/>
        <v>1.0094420600858369</v>
      </c>
      <c r="U39" s="305">
        <f t="shared" si="7"/>
        <v>17.89055793991416</v>
      </c>
      <c r="V39" s="305">
        <f t="shared" si="8"/>
        <v>1.2978540772532188</v>
      </c>
      <c r="W39" s="305">
        <f t="shared" si="9"/>
        <v>26.802145922746782</v>
      </c>
      <c r="Y39" s="106"/>
    </row>
    <row r="40" spans="1:25" s="32" customFormat="1" ht="9.9499999999999993" customHeight="1" x14ac:dyDescent="0.2">
      <c r="A40" s="805" t="s">
        <v>7</v>
      </c>
      <c r="B40" s="806"/>
      <c r="C40" s="42">
        <f>HLOOKUP($C$33,'Bemessungsregendaten, kfu'!$D$20:$N$41,6,0)</f>
        <v>12.1</v>
      </c>
      <c r="D40" s="37">
        <f t="shared" si="3"/>
        <v>12.836500000000001</v>
      </c>
      <c r="E40" s="42">
        <f>IF($E$33=0, 0,HLOOKUP($E$33,'Bemessungsregendaten, kfu'!$D$20:$N$41,6,0))</f>
        <v>21.6</v>
      </c>
      <c r="F40" s="37">
        <f t="shared" si="1"/>
        <v>23.400000000000002</v>
      </c>
      <c r="G40" s="42">
        <f>IF($G$33=0,0,HLOOKUP($G$33,'Bemessungsregendaten, kfu'!$D$20:$N$41,6,0))</f>
        <v>32</v>
      </c>
      <c r="H40" s="37">
        <f t="shared" si="2"/>
        <v>35.012</v>
      </c>
      <c r="I40" s="50"/>
      <c r="J40" s="50"/>
      <c r="K40" s="49"/>
      <c r="L40" s="48"/>
      <c r="M40" s="50"/>
      <c r="N40" s="50"/>
      <c r="P40" s="294"/>
      <c r="Q40" s="306">
        <v>30</v>
      </c>
      <c r="R40" s="304">
        <f t="shared" si="4"/>
        <v>1.0815450643776825</v>
      </c>
      <c r="S40" s="305">
        <f t="shared" si="5"/>
        <v>11.018454935622318</v>
      </c>
      <c r="T40" s="305">
        <f t="shared" si="6"/>
        <v>1.5141630901287555</v>
      </c>
      <c r="U40" s="305">
        <f t="shared" si="7"/>
        <v>20.085836909871247</v>
      </c>
      <c r="V40" s="305">
        <f t="shared" si="8"/>
        <v>1.9467811158798285</v>
      </c>
      <c r="W40" s="305">
        <f t="shared" si="9"/>
        <v>30.05321888412017</v>
      </c>
    </row>
    <row r="41" spans="1:25" s="32" customFormat="1" ht="9.9499999999999993" customHeight="1" x14ac:dyDescent="0.2">
      <c r="A41" s="805" t="s">
        <v>6</v>
      </c>
      <c r="B41" s="806"/>
      <c r="C41" s="42">
        <f>HLOOKUP($C$33,'Bemessungsregendaten, kfu'!$D$20:$N$41,7,0)</f>
        <v>13.8</v>
      </c>
      <c r="D41" s="37">
        <f t="shared" si="3"/>
        <v>14.187000000000001</v>
      </c>
      <c r="E41" s="42">
        <f>IF($E$33=0, 0,HLOOKUP($E$33,'Bemessungsregendaten, kfu'!$D$20:$N$41,7,0))</f>
        <v>24.5</v>
      </c>
      <c r="F41" s="37">
        <f t="shared" si="1"/>
        <v>25.896499999999996</v>
      </c>
      <c r="G41" s="42">
        <f>IF($G$33=0,0,HLOOKUP($G$33,'Bemessungsregendaten, kfu'!$D$20:$N$41,7,0))</f>
        <v>36.1</v>
      </c>
      <c r="H41" s="37">
        <f t="shared" si="2"/>
        <v>38.654499999999999</v>
      </c>
      <c r="I41" s="50"/>
      <c r="J41" s="50"/>
      <c r="K41" s="49"/>
      <c r="L41" s="48"/>
      <c r="M41" s="50"/>
      <c r="N41" s="50"/>
      <c r="P41" s="294"/>
      <c r="Q41" s="306">
        <v>45</v>
      </c>
      <c r="R41" s="304">
        <f t="shared" si="4"/>
        <v>1.6223175965665237</v>
      </c>
      <c r="S41" s="305">
        <f t="shared" si="5"/>
        <v>12.177682403433478</v>
      </c>
      <c r="T41" s="305">
        <f t="shared" si="6"/>
        <v>2.271244635193133</v>
      </c>
      <c r="U41" s="305">
        <f t="shared" si="7"/>
        <v>22.228755364806865</v>
      </c>
      <c r="V41" s="305">
        <f t="shared" si="8"/>
        <v>2.920171673819743</v>
      </c>
      <c r="W41" s="305">
        <f t="shared" si="9"/>
        <v>33.179828326180257</v>
      </c>
    </row>
    <row r="42" spans="1:25" s="32" customFormat="1" ht="9.9499999999999993" customHeight="1" x14ac:dyDescent="0.2">
      <c r="A42" s="805" t="s">
        <v>8</v>
      </c>
      <c r="B42" s="806"/>
      <c r="C42" s="42">
        <f>HLOOKUP($C$33,'Bemessungsregendaten, kfu'!$D$20:$N$41,8,0)</f>
        <v>15.2</v>
      </c>
      <c r="D42" s="37">
        <f t="shared" si="3"/>
        <v>15.187999999999999</v>
      </c>
      <c r="E42" s="42">
        <f>IF($E$33=0, 0,HLOOKUP($E$33,'Bemessungsregendaten, kfu'!$D$20:$N$41,8,0))</f>
        <v>26.5</v>
      </c>
      <c r="F42" s="37">
        <f t="shared" si="1"/>
        <v>27.344499999999996</v>
      </c>
      <c r="G42" s="42">
        <f>IF($G$33=0,0,HLOOKUP($G$33,'Bemessungsregendaten, kfu'!$D$20:$N$41,8,0))</f>
        <v>38.9</v>
      </c>
      <c r="H42" s="37">
        <f t="shared" si="2"/>
        <v>40.782499999999999</v>
      </c>
      <c r="I42" s="50"/>
      <c r="J42" s="50"/>
      <c r="K42" s="49"/>
      <c r="L42" s="48"/>
      <c r="M42" s="50"/>
      <c r="N42" s="50"/>
      <c r="P42" s="294"/>
      <c r="Q42" s="306">
        <v>60</v>
      </c>
      <c r="R42" s="304">
        <f t="shared" si="4"/>
        <v>2.163090128755365</v>
      </c>
      <c r="S42" s="305">
        <f t="shared" si="5"/>
        <v>13.036909871244635</v>
      </c>
      <c r="T42" s="305">
        <f t="shared" si="6"/>
        <v>3.028326180257511</v>
      </c>
      <c r="U42" s="305">
        <f t="shared" si="7"/>
        <v>23.471673819742488</v>
      </c>
      <c r="V42" s="305">
        <f t="shared" si="8"/>
        <v>3.893562231759657</v>
      </c>
      <c r="W42" s="305">
        <f t="shared" si="9"/>
        <v>35.006437768240339</v>
      </c>
    </row>
    <row r="43" spans="1:25" s="32" customFormat="1" ht="9.9499999999999993" customHeight="1" x14ac:dyDescent="0.2">
      <c r="A43" s="805" t="s">
        <v>9</v>
      </c>
      <c r="B43" s="806"/>
      <c r="C43" s="42">
        <f>HLOOKUP($C$33,'Bemessungsregendaten, kfu'!$D$20:$N$41,9,0)</f>
        <v>17.3</v>
      </c>
      <c r="D43" s="37">
        <f t="shared" si="3"/>
        <v>16.374500000000001</v>
      </c>
      <c r="E43" s="42">
        <f>IF($E$33=0, 0,HLOOKUP($E$33,'Bemessungsregendaten, kfu'!$D$20:$N$41,9,0))</f>
        <v>29.5</v>
      </c>
      <c r="F43" s="37">
        <f t="shared" si="1"/>
        <v>29.075499999999998</v>
      </c>
      <c r="G43" s="42">
        <f>IF($G$33=0,0,HLOOKUP($G$33,'Bemessungsregendaten, kfu'!$D$20:$N$41,9,0))</f>
        <v>43.1</v>
      </c>
      <c r="H43" s="37">
        <f t="shared" si="2"/>
        <v>43.407500000000006</v>
      </c>
      <c r="I43" s="50"/>
      <c r="J43" s="50"/>
      <c r="K43" s="49"/>
      <c r="L43" s="48"/>
      <c r="M43" s="50"/>
      <c r="N43" s="50"/>
      <c r="P43" s="294"/>
      <c r="Q43" s="306">
        <v>90</v>
      </c>
      <c r="R43" s="304">
        <f t="shared" si="4"/>
        <v>3.2446351931330475</v>
      </c>
      <c r="S43" s="305">
        <f t="shared" si="5"/>
        <v>14.055364806866953</v>
      </c>
      <c r="T43" s="305">
        <f t="shared" si="6"/>
        <v>4.542489270386266</v>
      </c>
      <c r="U43" s="305">
        <f t="shared" si="7"/>
        <v>24.957510729613734</v>
      </c>
      <c r="V43" s="305">
        <f t="shared" si="8"/>
        <v>5.8403433476394859</v>
      </c>
      <c r="W43" s="305">
        <f t="shared" si="9"/>
        <v>37.259656652360519</v>
      </c>
    </row>
    <row r="44" spans="1:25" s="32" customFormat="1" ht="9.9499999999999993" customHeight="1" x14ac:dyDescent="0.2">
      <c r="A44" s="805" t="s">
        <v>10</v>
      </c>
      <c r="B44" s="806"/>
      <c r="C44" s="42">
        <f>HLOOKUP($C$33,'Bemessungsregendaten, kfu'!$D$20:$N$41,10,0)</f>
        <v>19</v>
      </c>
      <c r="D44" s="37">
        <f t="shared" si="3"/>
        <v>17.094999999999999</v>
      </c>
      <c r="E44" s="42">
        <f>IF($E$33=0, 0,HLOOKUP($E$33,'Bemessungsregendaten, kfu'!$D$20:$N$41,10,0))</f>
        <v>32</v>
      </c>
      <c r="F44" s="37">
        <f t="shared" si="1"/>
        <v>30.224</v>
      </c>
      <c r="G44" s="42">
        <f>IF($G$33=0,0,HLOOKUP($G$33,'Bemessungsregendaten, kfu'!$D$20:$N$41,10,0))</f>
        <v>46.7</v>
      </c>
      <c r="H44" s="37">
        <f t="shared" si="2"/>
        <v>45.333500000000008</v>
      </c>
      <c r="I44" s="50"/>
      <c r="J44" s="50"/>
      <c r="K44" s="49"/>
      <c r="L44" s="48"/>
      <c r="M44" s="50"/>
      <c r="N44" s="50"/>
      <c r="P44" s="294"/>
      <c r="Q44" s="306">
        <v>120</v>
      </c>
      <c r="R44" s="304">
        <f t="shared" si="4"/>
        <v>4.32618025751073</v>
      </c>
      <c r="S44" s="305">
        <f t="shared" si="5"/>
        <v>14.67381974248927</v>
      </c>
      <c r="T44" s="305">
        <f t="shared" si="6"/>
        <v>6.056652360515022</v>
      </c>
      <c r="U44" s="305">
        <f t="shared" si="7"/>
        <v>25.943347639484976</v>
      </c>
      <c r="V44" s="305">
        <f t="shared" si="8"/>
        <v>7.787124463519314</v>
      </c>
      <c r="W44" s="305">
        <f t="shared" si="9"/>
        <v>38.912875536480691</v>
      </c>
    </row>
    <row r="45" spans="1:25" s="32" customFormat="1" ht="9.9499999999999993" customHeight="1" x14ac:dyDescent="0.2">
      <c r="A45" s="805" t="s">
        <v>11</v>
      </c>
      <c r="B45" s="806"/>
      <c r="C45" s="42">
        <f>HLOOKUP($C$33,'Bemessungsregendaten, kfu'!$D$20:$N$41,11,0)</f>
        <v>21.7</v>
      </c>
      <c r="D45" s="37">
        <f t="shared" si="3"/>
        <v>17.720499999999998</v>
      </c>
      <c r="E45" s="42">
        <f>IF($E$33=0, 0,HLOOKUP($E$33,'Bemessungsregendaten, kfu'!$D$20:$N$41,11,0))</f>
        <v>36.1</v>
      </c>
      <c r="F45" s="37">
        <f t="shared" si="1"/>
        <v>31.4725</v>
      </c>
      <c r="G45" s="42">
        <f>IF($G$33=0,0,HLOOKUP($G$33,'Bemessungsregendaten, kfu'!$D$20:$N$41,11,0))</f>
        <v>52.2</v>
      </c>
      <c r="H45" s="37">
        <f t="shared" si="2"/>
        <v>47.205000000000005</v>
      </c>
      <c r="I45" s="50"/>
      <c r="J45" s="50"/>
      <c r="K45" s="49"/>
      <c r="L45" s="48"/>
      <c r="M45" s="50"/>
      <c r="N45" s="50"/>
      <c r="P45" s="294"/>
      <c r="Q45" s="306">
        <v>180</v>
      </c>
      <c r="R45" s="304">
        <f t="shared" si="4"/>
        <v>6.489270386266095</v>
      </c>
      <c r="S45" s="305">
        <f t="shared" si="5"/>
        <v>15.210729613733903</v>
      </c>
      <c r="T45" s="305">
        <f t="shared" si="6"/>
        <v>9.0849785407725321</v>
      </c>
      <c r="U45" s="305">
        <f t="shared" si="7"/>
        <v>27.015021459227469</v>
      </c>
      <c r="V45" s="305">
        <f t="shared" si="8"/>
        <v>11.680686695278972</v>
      </c>
      <c r="W45" s="305">
        <f t="shared" si="9"/>
        <v>40.519313304721031</v>
      </c>
    </row>
    <row r="46" spans="1:25" s="32" customFormat="1" ht="9.9499999999999993" customHeight="1" x14ac:dyDescent="0.2">
      <c r="A46" s="805" t="s">
        <v>12</v>
      </c>
      <c r="B46" s="806"/>
      <c r="C46" s="42">
        <f>HLOOKUP($C$33,'Bemessungsregendaten, kfu'!$D$20:$N$41,12,0)</f>
        <v>23.9</v>
      </c>
      <c r="D46" s="37">
        <f t="shared" si="3"/>
        <v>17.763499999999997</v>
      </c>
      <c r="E46" s="42">
        <f>IF($E$33=0, 0,HLOOKUP($E$33,'Bemessungsregendaten, kfu'!$D$20:$N$41,12,0))</f>
        <v>39.200000000000003</v>
      </c>
      <c r="F46" s="37">
        <f t="shared" si="1"/>
        <v>31.556000000000001</v>
      </c>
      <c r="G46" s="42">
        <f>IF($G$33=0,0,HLOOKUP($G$33,'Bemessungsregendaten, kfu'!$D$20:$N$41,12,0))</f>
        <v>56.4</v>
      </c>
      <c r="H46" s="37">
        <f t="shared" si="2"/>
        <v>47.561999999999991</v>
      </c>
      <c r="I46" s="50"/>
      <c r="J46" s="50"/>
      <c r="K46" s="49"/>
      <c r="L46" s="48"/>
      <c r="M46" s="50"/>
      <c r="N46" s="50"/>
      <c r="P46" s="294"/>
      <c r="Q46" s="306">
        <v>240</v>
      </c>
      <c r="R46" s="304">
        <f t="shared" si="4"/>
        <v>8.65236051502146</v>
      </c>
      <c r="S46" s="305">
        <f t="shared" si="5"/>
        <v>15.247639484978539</v>
      </c>
      <c r="T46" s="305">
        <f t="shared" si="6"/>
        <v>12.113304721030044</v>
      </c>
      <c r="U46" s="305">
        <f t="shared" si="7"/>
        <v>27.086695278969959</v>
      </c>
      <c r="V46" s="305">
        <f t="shared" si="8"/>
        <v>15.574248927038628</v>
      </c>
      <c r="W46" s="305">
        <f t="shared" si="9"/>
        <v>40.825751072961367</v>
      </c>
    </row>
    <row r="47" spans="1:25" s="32" customFormat="1" ht="9.9499999999999993" customHeight="1" x14ac:dyDescent="0.2">
      <c r="A47" s="805" t="s">
        <v>13</v>
      </c>
      <c r="B47" s="806"/>
      <c r="C47" s="42">
        <f>HLOOKUP($C$33,'Bemessungsregendaten, kfu'!$D$20:$N$41,13,0)</f>
        <v>28.2</v>
      </c>
      <c r="D47" s="37">
        <f t="shared" si="3"/>
        <v>17.732999999999997</v>
      </c>
      <c r="E47" s="42">
        <f>IF($E$33=0, 0,HLOOKUP($E$33,'Bemessungsregendaten, kfu'!$D$20:$N$41,13,0))</f>
        <v>45.8</v>
      </c>
      <c r="F47" s="37">
        <f t="shared" si="1"/>
        <v>32.189</v>
      </c>
      <c r="G47" s="42">
        <f>IF($G$33=0,0,HLOOKUP($G$33,'Bemessungsregendaten, kfu'!$D$20:$N$41,13,0))</f>
        <v>65.2</v>
      </c>
      <c r="H47" s="37">
        <f t="shared" si="2"/>
        <v>48.741999999999997</v>
      </c>
      <c r="I47" s="50"/>
      <c r="J47" s="50"/>
      <c r="K47" s="49"/>
      <c r="L47" s="48"/>
      <c r="M47" s="50"/>
      <c r="N47" s="50"/>
      <c r="P47" s="294"/>
      <c r="Q47" s="306">
        <v>360</v>
      </c>
      <c r="R47" s="304">
        <f t="shared" si="4"/>
        <v>12.97854077253219</v>
      </c>
      <c r="S47" s="305">
        <f t="shared" si="5"/>
        <v>15.221459227467809</v>
      </c>
      <c r="T47" s="305">
        <f>Q47*$E$25*(($E$23*$E$60)*$E$24)*($E$26/$E$28)*60000</f>
        <v>18.169957081545064</v>
      </c>
      <c r="U47" s="305">
        <f t="shared" si="7"/>
        <v>27.630042918454933</v>
      </c>
      <c r="V47" s="305">
        <f t="shared" si="8"/>
        <v>23.361373390557944</v>
      </c>
      <c r="W47" s="305">
        <f t="shared" si="9"/>
        <v>41.838626609442059</v>
      </c>
    </row>
    <row r="48" spans="1:25" s="32" customFormat="1" ht="9.9499999999999993" customHeight="1" x14ac:dyDescent="0.2">
      <c r="A48" s="805" t="s">
        <v>14</v>
      </c>
      <c r="B48" s="806"/>
      <c r="C48" s="42">
        <f>HLOOKUP($C$33,'Bemessungsregendaten, kfu'!$D$20:$N$41,14,0)</f>
        <v>33.1</v>
      </c>
      <c r="D48" s="37">
        <f t="shared" si="3"/>
        <v>15.881500000000001</v>
      </c>
      <c r="E48" s="42">
        <f>IF($E$33=0, 0,HLOOKUP($E$33,'Bemessungsregendaten, kfu'!$D$20:$N$41,14,0))</f>
        <v>53.5</v>
      </c>
      <c r="F48" s="37">
        <f t="shared" si="1"/>
        <v>30.575500000000002</v>
      </c>
      <c r="G48" s="42">
        <f>IF($G$33=0,0,HLOOKUP($G$33,'Bemessungsregendaten, kfu'!$D$20:$N$41,14,0))</f>
        <v>76</v>
      </c>
      <c r="H48" s="37">
        <f t="shared" si="2"/>
        <v>47.716000000000001</v>
      </c>
      <c r="I48" s="50"/>
      <c r="J48" s="50"/>
      <c r="K48" s="49"/>
      <c r="L48" s="48"/>
      <c r="M48" s="50"/>
      <c r="N48" s="50"/>
      <c r="P48" s="294"/>
      <c r="Q48" s="306">
        <v>540</v>
      </c>
      <c r="R48" s="304">
        <f t="shared" si="4"/>
        <v>19.467811158798284</v>
      </c>
      <c r="S48" s="305">
        <f t="shared" si="5"/>
        <v>13.632188841201717</v>
      </c>
      <c r="T48" s="305">
        <f t="shared" si="6"/>
        <v>27.254935622317596</v>
      </c>
      <c r="U48" s="305">
        <f t="shared" si="7"/>
        <v>26.245064377682404</v>
      </c>
      <c r="V48" s="305">
        <f t="shared" si="8"/>
        <v>35.042060085836908</v>
      </c>
      <c r="W48" s="305">
        <f t="shared" si="9"/>
        <v>40.957939914163092</v>
      </c>
    </row>
    <row r="49" spans="1:23" s="32" customFormat="1" ht="9.9499999999999993" customHeight="1" x14ac:dyDescent="0.2">
      <c r="A49" s="805" t="s">
        <v>15</v>
      </c>
      <c r="B49" s="806"/>
      <c r="C49" s="42">
        <f>HLOOKUP($C$33,'Bemessungsregendaten, kfu'!$D$20:$N$41,15,0)</f>
        <v>36.9</v>
      </c>
      <c r="D49" s="37">
        <f t="shared" si="3"/>
        <v>12.748499999999995</v>
      </c>
      <c r="E49" s="42">
        <f>IF($E$33=0, 0,HLOOKUP($E$33,'Bemessungsregendaten, kfu'!$D$20:$N$41,15,0))</f>
        <v>59.3</v>
      </c>
      <c r="F49" s="37">
        <f t="shared" si="1"/>
        <v>26.748499999999996</v>
      </c>
      <c r="G49" s="42">
        <f>IF($G$33=0,0,HLOOKUP($G$33,'Bemessungsregendaten, kfu'!$D$20:$N$41,15,0))</f>
        <v>84.3</v>
      </c>
      <c r="H49" s="37">
        <f t="shared" si="2"/>
        <v>43.777499999999989</v>
      </c>
      <c r="I49" s="50"/>
      <c r="J49" s="50"/>
      <c r="K49" s="49"/>
      <c r="L49" s="48"/>
      <c r="M49" s="50"/>
      <c r="N49" s="50"/>
      <c r="P49" s="294"/>
      <c r="Q49" s="306">
        <v>720</v>
      </c>
      <c r="R49" s="304">
        <f t="shared" si="4"/>
        <v>25.95708154506438</v>
      </c>
      <c r="S49" s="305">
        <f t="shared" si="5"/>
        <v>10.942918454935619</v>
      </c>
      <c r="T49" s="305">
        <f t="shared" si="6"/>
        <v>36.339914163090128</v>
      </c>
      <c r="U49" s="305">
        <f t="shared" si="7"/>
        <v>22.960085836909869</v>
      </c>
      <c r="V49" s="305">
        <f t="shared" si="8"/>
        <v>46.722746781115887</v>
      </c>
      <c r="W49" s="305">
        <f t="shared" si="9"/>
        <v>37.57725321888411</v>
      </c>
    </row>
    <row r="50" spans="1:23" s="32" customFormat="1" ht="9.9499999999999993" customHeight="1" x14ac:dyDescent="0.2">
      <c r="A50" s="805" t="s">
        <v>16</v>
      </c>
      <c r="B50" s="806"/>
      <c r="C50" s="42">
        <f>HLOOKUP($C$33,'Bemessungsregendaten, kfu'!$D$20:$N$41,16,0)</f>
        <v>42.6</v>
      </c>
      <c r="D50" s="37">
        <f t="shared" si="3"/>
        <v>4.2689999999999992</v>
      </c>
      <c r="E50" s="42">
        <f>IF($E$33=0, 0,HLOOKUP($E$33,'Bemessungsregendaten, kfu'!$D$20:$N$41,16,0))</f>
        <v>67.900000000000006</v>
      </c>
      <c r="F50" s="37">
        <f t="shared" si="1"/>
        <v>15.599500000000008</v>
      </c>
      <c r="G50" s="42">
        <f>IF($G$33=0,0,HLOOKUP($G$33,'Bemessungsregendaten, kfu'!$D$20:$N$41,16,0))</f>
        <v>95</v>
      </c>
      <c r="H50" s="37">
        <f t="shared" si="2"/>
        <v>29.027000000000005</v>
      </c>
      <c r="I50" s="50"/>
      <c r="J50" s="50"/>
      <c r="K50" s="49"/>
      <c r="L50" s="48"/>
      <c r="M50" s="50"/>
      <c r="N50" s="50"/>
      <c r="P50" s="294"/>
      <c r="Q50" s="306">
        <v>1080</v>
      </c>
      <c r="R50" s="304">
        <f>Q50*$E$25*(($E$23*$C$60)*$E$24)*($E$26/$E$28)*60000</f>
        <v>38.935622317596568</v>
      </c>
      <c r="S50" s="305">
        <f t="shared" si="5"/>
        <v>3.6643776824034333</v>
      </c>
      <c r="T50" s="305">
        <f t="shared" si="6"/>
        <v>54.509871244635193</v>
      </c>
      <c r="U50" s="305">
        <f t="shared" si="7"/>
        <v>13.390128755364813</v>
      </c>
      <c r="V50" s="305">
        <f t="shared" si="8"/>
        <v>70.084120171673817</v>
      </c>
      <c r="W50" s="305">
        <f>IF((G50*$E$24)-V50&gt;0, (G50*$E$24)-V50, 0)</f>
        <v>24.915879828326183</v>
      </c>
    </row>
    <row r="51" spans="1:23" s="32" customFormat="1" ht="9.9499999999999993" customHeight="1" x14ac:dyDescent="0.2">
      <c r="A51" s="805" t="s">
        <v>17</v>
      </c>
      <c r="B51" s="806"/>
      <c r="C51" s="42">
        <f>HLOOKUP($C$33,'Bemessungsregendaten, kfu'!$D$20:$N$41,17,0)</f>
        <v>44.6</v>
      </c>
      <c r="D51" s="37">
        <f t="shared" si="3"/>
        <v>0</v>
      </c>
      <c r="E51" s="42">
        <f>IF($E$33=0, 0,HLOOKUP($E$33,'Bemessungsregendaten, kfu'!$D$20:$N$41,17,0))</f>
        <v>70.400000000000006</v>
      </c>
      <c r="F51" s="37">
        <f t="shared" si="1"/>
        <v>0</v>
      </c>
      <c r="G51" s="42">
        <f>IF($G$33=0,0,HLOOKUP($G$33,'Bemessungsregendaten, kfu'!$D$20:$N$41,17,0))</f>
        <v>99.4</v>
      </c>
      <c r="H51" s="37">
        <f t="shared" si="2"/>
        <v>6.9369999999999887</v>
      </c>
      <c r="I51" s="50"/>
      <c r="J51" s="50"/>
      <c r="K51" s="49"/>
      <c r="L51" s="48"/>
      <c r="M51" s="50"/>
      <c r="N51" s="50"/>
      <c r="P51" s="294"/>
      <c r="Q51" s="306">
        <v>1440</v>
      </c>
      <c r="R51" s="304">
        <f t="shared" si="4"/>
        <v>51.91416309012876</v>
      </c>
      <c r="S51" s="305">
        <f t="shared" si="5"/>
        <v>0</v>
      </c>
      <c r="T51" s="305">
        <f t="shared" si="6"/>
        <v>72.679828326180257</v>
      </c>
      <c r="U51" s="305">
        <f t="shared" si="7"/>
        <v>0</v>
      </c>
      <c r="V51" s="305">
        <f t="shared" si="8"/>
        <v>93.445493562231775</v>
      </c>
      <c r="W51" s="305">
        <f t="shared" si="9"/>
        <v>5.9545064377682309</v>
      </c>
    </row>
    <row r="52" spans="1:23" s="32" customFormat="1" ht="9.9499999999999993" customHeight="1" x14ac:dyDescent="0.2">
      <c r="A52" s="805" t="s">
        <v>18</v>
      </c>
      <c r="B52" s="806"/>
      <c r="C52" s="42">
        <f>HLOOKUP($C$33,'Bemessungsregendaten, kfu'!$D$20:$N$41,18,0)</f>
        <v>53.8</v>
      </c>
      <c r="D52" s="37">
        <f t="shared" si="3"/>
        <v>0</v>
      </c>
      <c r="E52" s="42">
        <f>IF($E$33=0, 0,HLOOKUP($E$33,'Bemessungsregendaten, kfu'!$D$20:$N$41,18,0))</f>
        <v>83.6</v>
      </c>
      <c r="F52" s="37">
        <f t="shared" si="1"/>
        <v>0</v>
      </c>
      <c r="G52" s="42">
        <f>IF($G$33=0,0,HLOOKUP($G$33,'Bemessungsregendaten, kfu'!$D$20:$N$41,18,0))</f>
        <v>117.2</v>
      </c>
      <c r="H52" s="37">
        <f t="shared" si="2"/>
        <v>0</v>
      </c>
      <c r="I52" s="50"/>
      <c r="J52" s="50"/>
      <c r="K52" s="49"/>
      <c r="L52" s="48"/>
      <c r="M52" s="50"/>
      <c r="N52" s="50"/>
      <c r="P52" s="294"/>
      <c r="Q52" s="306">
        <v>2880</v>
      </c>
      <c r="R52" s="304">
        <f t="shared" si="4"/>
        <v>103.82832618025752</v>
      </c>
      <c r="S52" s="305">
        <f t="shared" si="5"/>
        <v>0</v>
      </c>
      <c r="T52" s="305">
        <f t="shared" si="6"/>
        <v>145.35965665236051</v>
      </c>
      <c r="U52" s="305">
        <f t="shared" si="7"/>
        <v>0</v>
      </c>
      <c r="V52" s="305">
        <f t="shared" si="8"/>
        <v>186.89098712446355</v>
      </c>
      <c r="W52" s="305">
        <f t="shared" si="9"/>
        <v>0</v>
      </c>
    </row>
    <row r="53" spans="1:23" s="32" customFormat="1" ht="9.9499999999999993" customHeight="1" x14ac:dyDescent="0.2">
      <c r="A53" s="805" t="s">
        <v>19</v>
      </c>
      <c r="B53" s="806"/>
      <c r="C53" s="42">
        <f>HLOOKUP($C$33,'Bemessungsregendaten, kfu'!$D$20:$N$41,19,0)</f>
        <v>60.2</v>
      </c>
      <c r="D53" s="37">
        <f t="shared" si="3"/>
        <v>0</v>
      </c>
      <c r="E53" s="42">
        <f>IF($E$33=0, 0,HLOOKUP($E$33,'Bemessungsregendaten, kfu'!$D$20:$N$41,19,0))</f>
        <v>92.6</v>
      </c>
      <c r="F53" s="37">
        <f t="shared" si="1"/>
        <v>0</v>
      </c>
      <c r="G53" s="42">
        <f>IF($G$33=0,0,HLOOKUP($G$33,'Bemessungsregendaten, kfu'!$D$20:$N$41,19,0))</f>
        <v>128.6</v>
      </c>
      <c r="H53" s="37">
        <f t="shared" si="2"/>
        <v>0</v>
      </c>
      <c r="I53" s="50"/>
      <c r="J53" s="50"/>
      <c r="K53" s="49"/>
      <c r="L53" s="48"/>
      <c r="M53" s="50"/>
      <c r="N53" s="50"/>
      <c r="P53" s="294"/>
      <c r="Q53" s="306">
        <v>4320</v>
      </c>
      <c r="R53" s="304">
        <f t="shared" si="4"/>
        <v>155.74248927038627</v>
      </c>
      <c r="S53" s="305">
        <f t="shared" si="5"/>
        <v>0</v>
      </c>
      <c r="T53" s="305">
        <f t="shared" si="6"/>
        <v>218.03948497854077</v>
      </c>
      <c r="U53" s="305">
        <f t="shared" si="7"/>
        <v>0</v>
      </c>
      <c r="V53" s="305">
        <f t="shared" si="8"/>
        <v>280.33648068669527</v>
      </c>
      <c r="W53" s="305">
        <f t="shared" si="9"/>
        <v>0</v>
      </c>
    </row>
    <row r="54" spans="1:23" s="32" customFormat="1" ht="9.9499999999999993" customHeight="1" x14ac:dyDescent="0.2">
      <c r="A54" s="805" t="s">
        <v>20</v>
      </c>
      <c r="B54" s="806"/>
      <c r="C54" s="42">
        <f>HLOOKUP($C$33,'Bemessungsregendaten, kfu'!$D$20:$N$41,20,0)</f>
        <v>66.3</v>
      </c>
      <c r="D54" s="37">
        <f t="shared" si="3"/>
        <v>0</v>
      </c>
      <c r="E54" s="42">
        <f>IF($E$33=0, 0,HLOOKUP($E$33,'Bemessungsregendaten, kfu'!$D$20:$N$41,20,0))</f>
        <v>99.1</v>
      </c>
      <c r="F54" s="37">
        <f t="shared" si="1"/>
        <v>0</v>
      </c>
      <c r="G54" s="42">
        <f>IF($G$33=0,0,HLOOKUP($G$33,'Bemessungsregendaten, kfu'!$D$20:$N$41,20,0))</f>
        <v>137.1</v>
      </c>
      <c r="H54" s="37">
        <f t="shared" si="2"/>
        <v>0</v>
      </c>
      <c r="I54" s="50"/>
      <c r="J54" s="50"/>
      <c r="K54" s="49"/>
      <c r="L54" s="48"/>
      <c r="M54" s="50"/>
      <c r="N54" s="50"/>
      <c r="P54" s="294"/>
      <c r="Q54" s="306">
        <v>5760</v>
      </c>
      <c r="R54" s="304">
        <f t="shared" si="4"/>
        <v>207.65665236051504</v>
      </c>
      <c r="S54" s="305">
        <f t="shared" si="5"/>
        <v>0</v>
      </c>
      <c r="T54" s="305">
        <f t="shared" si="6"/>
        <v>290.71931330472103</v>
      </c>
      <c r="U54" s="305">
        <f t="shared" si="7"/>
        <v>0</v>
      </c>
      <c r="V54" s="305">
        <f t="shared" si="8"/>
        <v>373.7819742489271</v>
      </c>
      <c r="W54" s="305">
        <f t="shared" si="9"/>
        <v>0</v>
      </c>
    </row>
    <row r="55" spans="1:23" s="32" customFormat="1" ht="9.9499999999999993" customHeight="1" x14ac:dyDescent="0.2">
      <c r="A55" s="805" t="s">
        <v>21</v>
      </c>
      <c r="B55" s="806"/>
      <c r="C55" s="42">
        <f>HLOOKUP($C$33,'Bemessungsregendaten, kfu'!$D$20:$N$41,21,0)</f>
        <v>71.3</v>
      </c>
      <c r="D55" s="37">
        <f t="shared" si="3"/>
        <v>0</v>
      </c>
      <c r="E55" s="42">
        <f>IF($E$33=0, 0,HLOOKUP($E$33,'Bemessungsregendaten, kfu'!$D$20:$N$41,21,0))</f>
        <v>104.4</v>
      </c>
      <c r="F55" s="37">
        <f t="shared" si="1"/>
        <v>0</v>
      </c>
      <c r="G55" s="42">
        <f>IF($G$33=0,0,HLOOKUP($G$33,'Bemessungsregendaten, kfu'!$D$20:$N$41,21,0))</f>
        <v>143.80000000000001</v>
      </c>
      <c r="H55" s="37">
        <f t="shared" si="2"/>
        <v>0</v>
      </c>
      <c r="I55" s="50"/>
      <c r="J55" s="50"/>
      <c r="K55" s="49"/>
      <c r="L55" s="48"/>
      <c r="M55" s="50"/>
      <c r="N55" s="50"/>
      <c r="P55" s="294"/>
      <c r="Q55" s="306">
        <v>7200</v>
      </c>
      <c r="R55" s="304">
        <f t="shared" si="4"/>
        <v>259.57081545064381</v>
      </c>
      <c r="S55" s="305">
        <f t="shared" si="5"/>
        <v>0</v>
      </c>
      <c r="T55" s="305">
        <f t="shared" si="6"/>
        <v>363.39914163090128</v>
      </c>
      <c r="U55" s="305">
        <f>IF((E55*$E$24)-T55&gt;0, (E55*$E$24)-T55, 0)</f>
        <v>0</v>
      </c>
      <c r="V55" s="305">
        <f t="shared" si="8"/>
        <v>467.22746781115876</v>
      </c>
      <c r="W55" s="305">
        <f t="shared" si="9"/>
        <v>0</v>
      </c>
    </row>
    <row r="56" spans="1:23" s="32" customFormat="1" ht="9.9499999999999993" customHeight="1" thickBot="1" x14ac:dyDescent="0.25">
      <c r="A56" s="807" t="s">
        <v>22</v>
      </c>
      <c r="B56" s="808"/>
      <c r="C56" s="43">
        <f>HLOOKUP($C$33,'Bemessungsregendaten, kfu'!$D$20:$N$304,22,0)</f>
        <v>76.2</v>
      </c>
      <c r="D56" s="37">
        <f t="shared" si="3"/>
        <v>0</v>
      </c>
      <c r="E56" s="42">
        <f>IF($E$33=0, 0,HLOOKUP($E$33,'Bemessungsregendaten, kfu'!$D$20:$N$41,22,0))</f>
        <v>110.1</v>
      </c>
      <c r="F56" s="37">
        <f t="shared" si="1"/>
        <v>0</v>
      </c>
      <c r="G56" s="42">
        <f>IF($G$33=0,0,HLOOKUP($G$33,'Bemessungsregendaten, kfu'!$D$20:$N$41,22,0))</f>
        <v>149.6</v>
      </c>
      <c r="H56" s="37">
        <f t="shared" si="2"/>
        <v>0</v>
      </c>
      <c r="I56" s="50"/>
      <c r="J56" s="50"/>
      <c r="K56" s="49"/>
      <c r="L56" s="48"/>
      <c r="M56" s="50"/>
      <c r="N56" s="50"/>
      <c r="P56" s="294"/>
      <c r="Q56" s="306">
        <v>8640</v>
      </c>
      <c r="R56" s="304">
        <f t="shared" si="4"/>
        <v>311.48497854077254</v>
      </c>
      <c r="S56" s="305">
        <f t="shared" si="5"/>
        <v>0</v>
      </c>
      <c r="T56" s="305">
        <f t="shared" si="6"/>
        <v>436.07896995708154</v>
      </c>
      <c r="U56" s="305">
        <f t="shared" si="7"/>
        <v>0</v>
      </c>
      <c r="V56" s="305">
        <f t="shared" si="8"/>
        <v>560.67296137339054</v>
      </c>
      <c r="W56" s="305">
        <f t="shared" si="9"/>
        <v>0</v>
      </c>
    </row>
    <row r="57" spans="1:23" ht="9.75" customHeight="1" thickBot="1" x14ac:dyDescent="0.25">
      <c r="A57" s="922"/>
      <c r="B57" s="922"/>
      <c r="C57" s="922"/>
      <c r="D57" s="922"/>
      <c r="E57" s="922"/>
      <c r="F57" s="922"/>
      <c r="G57" s="922"/>
      <c r="H57" s="922"/>
      <c r="I57" s="11"/>
      <c r="J57" s="11"/>
      <c r="K57" s="11"/>
      <c r="L57" s="11"/>
      <c r="M57" s="11"/>
      <c r="N57" s="11"/>
      <c r="P57" s="292"/>
      <c r="Q57" s="293"/>
      <c r="R57" s="293"/>
      <c r="S57" s="293"/>
      <c r="T57" s="293"/>
      <c r="U57" s="293"/>
      <c r="V57" s="293"/>
      <c r="W57" s="293"/>
    </row>
    <row r="58" spans="1:23" ht="16.5" customHeight="1" thickBot="1" x14ac:dyDescent="0.25">
      <c r="A58" s="821" t="s">
        <v>101</v>
      </c>
      <c r="B58" s="822"/>
      <c r="C58" s="822"/>
      <c r="D58" s="822"/>
      <c r="E58" s="822"/>
      <c r="F58" s="822"/>
      <c r="G58" s="822"/>
      <c r="H58" s="823"/>
      <c r="I58" s="63"/>
      <c r="J58" s="63"/>
      <c r="K58" s="63"/>
      <c r="L58" s="63"/>
      <c r="M58" s="63"/>
      <c r="N58" s="63"/>
      <c r="P58" s="292"/>
      <c r="Q58" s="293"/>
      <c r="R58" s="293"/>
      <c r="S58" s="293"/>
      <c r="T58" s="293"/>
      <c r="U58" s="293"/>
      <c r="V58" s="293"/>
      <c r="W58" s="293"/>
    </row>
    <row r="59" spans="1:23" ht="12" customHeight="1" x14ac:dyDescent="0.2">
      <c r="A59" s="853" t="s">
        <v>52</v>
      </c>
      <c r="B59" s="854"/>
      <c r="C59" s="851">
        <f>C33</f>
        <v>1</v>
      </c>
      <c r="D59" s="852"/>
      <c r="E59" s="851">
        <f>E33</f>
        <v>5</v>
      </c>
      <c r="F59" s="852"/>
      <c r="G59" s="851">
        <f>G33</f>
        <v>30</v>
      </c>
      <c r="H59" s="852"/>
      <c r="I59" s="12"/>
      <c r="J59" s="12"/>
      <c r="K59" s="12"/>
      <c r="L59" s="839"/>
      <c r="M59" s="839"/>
      <c r="N59" s="839"/>
    </row>
    <row r="60" spans="1:23" ht="12" customHeight="1" x14ac:dyDescent="0.2">
      <c r="A60" s="853" t="s">
        <v>205</v>
      </c>
      <c r="B60" s="854"/>
      <c r="C60" s="795">
        <f>'Bemessungsregendaten, kfu'!D44</f>
        <v>0.5</v>
      </c>
      <c r="D60" s="796"/>
      <c r="E60" s="795">
        <f>HLOOKUP(E33,'Bemessungsregendaten, kfu'!D43:N45,2,TRUE)</f>
        <v>0.7</v>
      </c>
      <c r="F60" s="796"/>
      <c r="G60" s="795">
        <f>HLOOKUP(G33,'Bemessungsregendaten, kfu'!D43:N45,2,TRUE)</f>
        <v>0.9</v>
      </c>
      <c r="H60" s="796"/>
      <c r="I60" s="12"/>
      <c r="J60" s="12"/>
      <c r="K60" s="12"/>
      <c r="L60" s="839"/>
      <c r="M60" s="839"/>
      <c r="N60" s="839"/>
    </row>
    <row r="61" spans="1:23" ht="23.25" customHeight="1" x14ac:dyDescent="0.2">
      <c r="A61" s="857" t="s">
        <v>65</v>
      </c>
      <c r="B61" s="858"/>
      <c r="C61" s="844">
        <f>MAX(D36:D56)</f>
        <v>17.763499999999997</v>
      </c>
      <c r="D61" s="845"/>
      <c r="E61" s="844">
        <f>MAX(F36:F56)</f>
        <v>32.189</v>
      </c>
      <c r="F61" s="845"/>
      <c r="G61" s="844">
        <f>MAX(H36:H56)</f>
        <v>48.741999999999997</v>
      </c>
      <c r="H61" s="845"/>
      <c r="I61" s="12"/>
      <c r="J61" s="12"/>
      <c r="K61" s="12"/>
      <c r="L61" s="839"/>
      <c r="M61" s="839"/>
      <c r="N61" s="839"/>
    </row>
    <row r="62" spans="1:23" s="19" customFormat="1" ht="22.5" customHeight="1" x14ac:dyDescent="0.2">
      <c r="A62" s="857" t="s">
        <v>139</v>
      </c>
      <c r="B62" s="858"/>
      <c r="C62" s="797">
        <f>C61/E26</f>
        <v>0.12688214285714283</v>
      </c>
      <c r="D62" s="798"/>
      <c r="E62" s="797">
        <f>E61/E26</f>
        <v>0.22992142857142858</v>
      </c>
      <c r="F62" s="798"/>
      <c r="G62" s="797">
        <f>G61/E26</f>
        <v>0.34815714285714283</v>
      </c>
      <c r="H62" s="798"/>
      <c r="I62" s="62"/>
      <c r="J62" s="62"/>
      <c r="K62" s="62"/>
      <c r="L62" s="839"/>
      <c r="M62" s="839"/>
      <c r="N62" s="839"/>
      <c r="Q62" s="273"/>
      <c r="R62" s="273"/>
      <c r="S62" s="273"/>
      <c r="T62" s="273"/>
      <c r="U62" s="273"/>
      <c r="V62" s="273"/>
      <c r="W62" s="273"/>
    </row>
    <row r="63" spans="1:23" ht="13.5" thickBot="1" x14ac:dyDescent="0.25">
      <c r="A63" s="862" t="s">
        <v>67</v>
      </c>
      <c r="B63" s="863"/>
      <c r="C63" s="135" t="str">
        <f>IF((MAX(D36:D56)&gt;0),(INDEX(A36:A56,MATCH(MAX(D36:D56),D36:D56,0))),"-")</f>
        <v>4 h</v>
      </c>
      <c r="D63" s="136">
        <f>IF((MAX(D36:D56)&gt;0),(INDEX(C36:C56,MATCH(MAX(D36:D56),D36:D56,0))),"-")</f>
        <v>23.9</v>
      </c>
      <c r="E63" s="135" t="str">
        <f>IF((MAX(F36:F56)&gt;0),(INDEX(A36:A56,MATCH(MAX(F36:F56),F36:F56,0))),"-")</f>
        <v>6 h</v>
      </c>
      <c r="F63" s="136">
        <f>IF((MAX(F36:F56)&gt;0),(INDEX(E36:E56,MATCH(MAX(F36:F56),F36:F56,0))),"-")</f>
        <v>45.8</v>
      </c>
      <c r="G63" s="135" t="str">
        <f>IF((MAX(H36:H56)&gt;0),(INDEX(A36:A56,MATCH(MAX(H36:H56),H36:H56,0))),"-")</f>
        <v>6 h</v>
      </c>
      <c r="H63" s="136">
        <f>IF((MAX(H36:H56)&gt;0),(INDEX(G36:G430,MATCH(MAX(H36:H56),H36:H56,0))),"-")</f>
        <v>65.2</v>
      </c>
      <c r="I63" s="12"/>
      <c r="J63" s="12"/>
      <c r="K63" s="12"/>
      <c r="L63" s="839"/>
      <c r="M63" s="839"/>
      <c r="N63" s="839"/>
      <c r="O63" s="21"/>
    </row>
    <row r="64" spans="1:23" ht="12.75" customHeight="1" x14ac:dyDescent="0.2">
      <c r="A64" s="888" t="s">
        <v>311</v>
      </c>
      <c r="B64" s="889"/>
      <c r="C64" s="859">
        <f>$E$26*($E$23*$E$24)*1000</f>
        <v>1.4000000000000001</v>
      </c>
      <c r="D64" s="860"/>
      <c r="E64" s="860"/>
      <c r="F64" s="860"/>
      <c r="G64" s="860"/>
      <c r="H64" s="861"/>
      <c r="I64" s="12"/>
      <c r="J64" s="12"/>
      <c r="K64" s="12"/>
      <c r="L64" s="839"/>
      <c r="M64" s="839"/>
      <c r="N64" s="839"/>
    </row>
    <row r="65" spans="1:15" x14ac:dyDescent="0.2">
      <c r="A65" s="890" t="s">
        <v>312</v>
      </c>
      <c r="B65" s="891"/>
      <c r="C65" s="848">
        <f>C64*3.6*24</f>
        <v>120.96000000000002</v>
      </c>
      <c r="D65" s="855"/>
      <c r="E65" s="855"/>
      <c r="F65" s="855"/>
      <c r="G65" s="855"/>
      <c r="H65" s="856"/>
      <c r="I65" s="12"/>
      <c r="J65" s="12"/>
      <c r="K65" s="12"/>
      <c r="L65" s="839"/>
      <c r="M65" s="839"/>
      <c r="N65" s="839"/>
      <c r="O65" s="21"/>
    </row>
    <row r="66" spans="1:15" ht="22.5" customHeight="1" x14ac:dyDescent="0.2">
      <c r="A66" s="846" t="s">
        <v>314</v>
      </c>
      <c r="B66" s="847"/>
      <c r="C66" s="848">
        <f>'Bemessungsregendaten, kfu'!D36*G21/1000</f>
        <v>45.715000000000003</v>
      </c>
      <c r="D66" s="849"/>
      <c r="E66" s="849"/>
      <c r="F66" s="849"/>
      <c r="G66" s="849"/>
      <c r="H66" s="850"/>
      <c r="I66" s="12"/>
      <c r="J66" s="12"/>
      <c r="K66" s="12"/>
      <c r="L66" s="839"/>
      <c r="M66" s="839"/>
      <c r="N66" s="839"/>
      <c r="O66" s="21"/>
    </row>
    <row r="67" spans="1:15" ht="12.75" customHeight="1" x14ac:dyDescent="0.2">
      <c r="A67" s="902" t="s">
        <v>140</v>
      </c>
      <c r="B67" s="903"/>
      <c r="C67" s="887">
        <f>((C62)/($E$23*C60)/3600)</f>
        <v>7.0490079365079348</v>
      </c>
      <c r="D67" s="887"/>
      <c r="E67" s="883">
        <f>((E62)/($E$23*E60))/3600</f>
        <v>9.1238662131519277</v>
      </c>
      <c r="F67" s="884"/>
      <c r="G67" s="868">
        <f>((G62)/($E$23*G60))/3600</f>
        <v>10.745590828924161</v>
      </c>
      <c r="H67" s="869"/>
      <c r="I67" s="12"/>
      <c r="J67" s="12"/>
      <c r="K67" s="12"/>
      <c r="L67" s="839"/>
      <c r="M67" s="839"/>
      <c r="N67" s="839"/>
      <c r="O67" s="21"/>
    </row>
    <row r="68" spans="1:15" ht="12.75" customHeight="1" thickBot="1" x14ac:dyDescent="0.25">
      <c r="A68" s="904"/>
      <c r="B68" s="905"/>
      <c r="C68" s="881" t="str">
        <f>IF(C67&gt;24,"NICHT OK", "OK")</f>
        <v>OK</v>
      </c>
      <c r="D68" s="882"/>
      <c r="E68" s="885"/>
      <c r="F68" s="886"/>
      <c r="G68" s="870"/>
      <c r="H68" s="871"/>
      <c r="I68" s="12"/>
      <c r="J68" s="12"/>
      <c r="K68" s="12"/>
      <c r="L68" s="61"/>
      <c r="M68" s="61"/>
      <c r="N68" s="61"/>
      <c r="O68" s="21"/>
    </row>
    <row r="69" spans="1:15" ht="64.5" customHeight="1" x14ac:dyDescent="0.2">
      <c r="A69" s="92"/>
      <c r="B69" s="92"/>
      <c r="C69" s="93"/>
      <c r="D69" s="93"/>
      <c r="E69" s="93"/>
      <c r="F69" s="93"/>
      <c r="G69" s="93"/>
      <c r="H69" s="93"/>
      <c r="I69" s="12"/>
      <c r="J69" s="12"/>
      <c r="K69" s="12"/>
      <c r="L69" s="61"/>
      <c r="M69" s="61"/>
      <c r="N69" s="61"/>
      <c r="O69" s="21"/>
    </row>
    <row r="70" spans="1:15" x14ac:dyDescent="0.2">
      <c r="A70" s="872"/>
      <c r="B70" s="873"/>
      <c r="C70" s="873"/>
      <c r="D70" s="873"/>
      <c r="E70" s="873"/>
      <c r="F70" s="873"/>
      <c r="G70" s="873"/>
      <c r="H70" s="874"/>
      <c r="I70" s="64"/>
      <c r="J70" s="64"/>
      <c r="K70" s="64"/>
      <c r="L70" s="64"/>
      <c r="M70" s="64"/>
      <c r="N70" s="64"/>
    </row>
    <row r="71" spans="1:15" x14ac:dyDescent="0.2">
      <c r="A71" s="875"/>
      <c r="B71" s="876"/>
      <c r="C71" s="876"/>
      <c r="D71" s="876"/>
      <c r="E71" s="876"/>
      <c r="F71" s="876"/>
      <c r="G71" s="876"/>
      <c r="H71" s="877"/>
      <c r="I71" s="64"/>
      <c r="J71" s="64"/>
      <c r="K71" s="64"/>
      <c r="L71" s="64"/>
      <c r="M71" s="64"/>
      <c r="N71" s="64"/>
    </row>
    <row r="72" spans="1:15" x14ac:dyDescent="0.2">
      <c r="A72" s="875"/>
      <c r="B72" s="876"/>
      <c r="C72" s="876"/>
      <c r="D72" s="876"/>
      <c r="E72" s="876"/>
      <c r="F72" s="876"/>
      <c r="G72" s="876"/>
      <c r="H72" s="877"/>
      <c r="I72" s="64"/>
      <c r="J72" s="64"/>
      <c r="K72" s="64"/>
      <c r="L72" s="64"/>
      <c r="M72" s="64"/>
      <c r="N72" s="64"/>
    </row>
    <row r="73" spans="1:15" ht="28.5" customHeight="1" x14ac:dyDescent="0.2">
      <c r="A73" s="875"/>
      <c r="B73" s="876"/>
      <c r="C73" s="876"/>
      <c r="D73" s="876"/>
      <c r="E73" s="876"/>
      <c r="F73" s="876"/>
      <c r="G73" s="876"/>
      <c r="H73" s="877"/>
      <c r="I73" s="64"/>
      <c r="J73" s="64"/>
      <c r="K73" s="64"/>
      <c r="L73" s="64"/>
      <c r="M73" s="64"/>
      <c r="N73" s="64"/>
    </row>
    <row r="74" spans="1:15" ht="36" customHeight="1" x14ac:dyDescent="0.2">
      <c r="A74" s="875"/>
      <c r="B74" s="876"/>
      <c r="C74" s="876"/>
      <c r="D74" s="876"/>
      <c r="E74" s="876"/>
      <c r="F74" s="876"/>
      <c r="G74" s="876"/>
      <c r="H74" s="877"/>
      <c r="I74" s="64"/>
      <c r="J74" s="64"/>
      <c r="K74" s="64"/>
      <c r="L74" s="64"/>
      <c r="M74" s="64"/>
      <c r="N74" s="64"/>
    </row>
    <row r="75" spans="1:15" ht="72" customHeight="1" x14ac:dyDescent="0.2">
      <c r="A75" s="875"/>
      <c r="B75" s="876"/>
      <c r="C75" s="876"/>
      <c r="D75" s="876"/>
      <c r="E75" s="876"/>
      <c r="F75" s="876"/>
      <c r="G75" s="876"/>
      <c r="H75" s="877"/>
      <c r="I75" s="64"/>
      <c r="J75" s="64"/>
      <c r="K75" s="64"/>
      <c r="L75" s="64"/>
      <c r="M75" s="64"/>
      <c r="N75" s="64"/>
    </row>
    <row r="76" spans="1:15" x14ac:dyDescent="0.2">
      <c r="A76" s="875"/>
      <c r="B76" s="876"/>
      <c r="C76" s="876"/>
      <c r="D76" s="876"/>
      <c r="E76" s="876"/>
      <c r="F76" s="876"/>
      <c r="G76" s="876"/>
      <c r="H76" s="877"/>
      <c r="I76" s="64"/>
      <c r="J76" s="64"/>
      <c r="K76" s="64"/>
      <c r="L76" s="64"/>
      <c r="M76" s="64"/>
      <c r="N76" s="64"/>
    </row>
    <row r="77" spans="1:15" ht="46.5" customHeight="1" x14ac:dyDescent="0.2">
      <c r="A77" s="875"/>
      <c r="B77" s="876"/>
      <c r="C77" s="876"/>
      <c r="D77" s="876"/>
      <c r="E77" s="876"/>
      <c r="F77" s="876"/>
      <c r="G77" s="876"/>
      <c r="H77" s="877"/>
      <c r="I77" s="64"/>
      <c r="J77" s="64"/>
      <c r="K77" s="64"/>
      <c r="L77" s="64"/>
      <c r="M77" s="64"/>
      <c r="N77" s="64"/>
    </row>
    <row r="78" spans="1:15" ht="50.25" customHeight="1" x14ac:dyDescent="0.2">
      <c r="A78" s="875"/>
      <c r="B78" s="876"/>
      <c r="C78" s="876"/>
      <c r="D78" s="876"/>
      <c r="E78" s="876"/>
      <c r="F78" s="876"/>
      <c r="G78" s="876"/>
      <c r="H78" s="877"/>
      <c r="I78" s="64"/>
      <c r="J78" s="64"/>
      <c r="K78" s="64"/>
      <c r="L78" s="64"/>
      <c r="M78" s="64"/>
      <c r="N78" s="64"/>
    </row>
    <row r="79" spans="1:15" x14ac:dyDescent="0.2">
      <c r="A79" s="875"/>
      <c r="B79" s="876"/>
      <c r="C79" s="876"/>
      <c r="D79" s="876"/>
      <c r="E79" s="876"/>
      <c r="F79" s="876"/>
      <c r="G79" s="876"/>
      <c r="H79" s="877"/>
      <c r="I79" s="64"/>
      <c r="J79" s="64"/>
      <c r="K79" s="64"/>
      <c r="L79" s="64"/>
      <c r="M79" s="64"/>
      <c r="N79" s="64"/>
    </row>
    <row r="80" spans="1:15" x14ac:dyDescent="0.2">
      <c r="A80" s="875"/>
      <c r="B80" s="876"/>
      <c r="C80" s="876"/>
      <c r="D80" s="876"/>
      <c r="E80" s="876"/>
      <c r="F80" s="876"/>
      <c r="G80" s="876"/>
      <c r="H80" s="877"/>
      <c r="I80" s="12"/>
      <c r="J80" s="12"/>
      <c r="K80" s="12"/>
      <c r="L80" s="12"/>
      <c r="M80" s="12"/>
      <c r="N80" s="12"/>
    </row>
    <row r="81" spans="1:14" ht="28.5" customHeight="1" x14ac:dyDescent="0.2">
      <c r="A81" s="878"/>
      <c r="B81" s="879"/>
      <c r="C81" s="879"/>
      <c r="D81" s="879"/>
      <c r="E81" s="879"/>
      <c r="F81" s="879"/>
      <c r="G81" s="879"/>
      <c r="H81" s="880"/>
      <c r="I81" s="12"/>
      <c r="J81" s="12"/>
      <c r="K81" s="12"/>
      <c r="L81" s="12"/>
      <c r="M81" s="12"/>
      <c r="N81" s="12"/>
    </row>
    <row r="82" spans="1:14" x14ac:dyDescent="0.2">
      <c r="A82" s="894"/>
      <c r="B82" s="894"/>
      <c r="C82" s="3"/>
      <c r="D82" s="3"/>
    </row>
    <row r="83" spans="1:14" ht="28.5" customHeight="1" x14ac:dyDescent="0.2">
      <c r="A83" s="864"/>
      <c r="B83" s="864"/>
      <c r="C83" s="2"/>
      <c r="D83" s="901"/>
      <c r="E83" s="901"/>
      <c r="F83" s="2"/>
    </row>
    <row r="84" spans="1:14" ht="36" customHeight="1" x14ac:dyDescent="0.2">
      <c r="A84" s="866"/>
      <c r="B84" s="866"/>
      <c r="C84" s="7"/>
      <c r="D84" s="6"/>
      <c r="F84" s="2"/>
    </row>
    <row r="85" spans="1:14" ht="72" customHeight="1" x14ac:dyDescent="0.2">
      <c r="A85" s="864"/>
      <c r="B85" s="864"/>
      <c r="C85" s="4"/>
      <c r="D85" s="6"/>
      <c r="F85" s="4"/>
    </row>
    <row r="86" spans="1:14" x14ac:dyDescent="0.2">
      <c r="A86" s="865"/>
      <c r="B86" s="865"/>
      <c r="C86" s="2"/>
      <c r="D86" s="8"/>
      <c r="F86" s="2"/>
    </row>
    <row r="87" spans="1:14" ht="46.5" customHeight="1" x14ac:dyDescent="0.2">
      <c r="F87" s="2"/>
    </row>
    <row r="88" spans="1:14" ht="50.25" customHeight="1" x14ac:dyDescent="0.2">
      <c r="A88" s="864"/>
      <c r="B88" s="864"/>
      <c r="C88" s="4"/>
      <c r="D88" s="5"/>
    </row>
    <row r="89" spans="1:14" x14ac:dyDescent="0.2">
      <c r="A89" s="894"/>
      <c r="B89" s="894"/>
    </row>
    <row r="90" spans="1:14" x14ac:dyDescent="0.2">
      <c r="A90" s="584"/>
      <c r="B90" s="584"/>
    </row>
    <row r="91" spans="1:14" ht="28.5" customHeight="1" x14ac:dyDescent="0.2">
      <c r="A91" s="893"/>
      <c r="B91" s="893"/>
      <c r="C91" s="12"/>
      <c r="D91" s="13"/>
      <c r="F91" s="2"/>
    </row>
    <row r="92" spans="1:14" ht="29.25" customHeight="1" x14ac:dyDescent="0.2">
      <c r="A92" s="866"/>
      <c r="B92" s="867"/>
      <c r="C92" s="14"/>
      <c r="D92" s="15"/>
      <c r="F92" s="2"/>
      <c r="G92" s="2"/>
      <c r="H92" s="6"/>
    </row>
    <row r="93" spans="1:14" x14ac:dyDescent="0.2">
      <c r="A93" s="865"/>
      <c r="B93" s="892"/>
      <c r="C93" s="16"/>
      <c r="D93" s="17"/>
      <c r="F93" s="2"/>
      <c r="H93" s="6"/>
    </row>
    <row r="94" spans="1:14" ht="27.75" customHeight="1" x14ac:dyDescent="0.2">
      <c r="A94" s="866"/>
      <c r="B94" s="867"/>
      <c r="C94" s="14"/>
      <c r="D94" s="18"/>
      <c r="F94" s="4"/>
      <c r="H94" s="6"/>
    </row>
    <row r="95" spans="1:14" x14ac:dyDescent="0.2">
      <c r="A95" s="584"/>
      <c r="B95" s="584"/>
      <c r="C95" s="12"/>
      <c r="D95" s="12"/>
    </row>
    <row r="96" spans="1:14" x14ac:dyDescent="0.2">
      <c r="A96" s="584"/>
      <c r="B96" s="584"/>
    </row>
  </sheetData>
  <mergeCells count="143">
    <mergeCell ref="K31:L31"/>
    <mergeCell ref="K33:L33"/>
    <mergeCell ref="E31:F31"/>
    <mergeCell ref="E33:F33"/>
    <mergeCell ref="G31:H31"/>
    <mergeCell ref="E32:F32"/>
    <mergeCell ref="G32:H32"/>
    <mergeCell ref="A57:H57"/>
    <mergeCell ref="B21:D21"/>
    <mergeCell ref="C33:D33"/>
    <mergeCell ref="E25:F25"/>
    <mergeCell ref="E23:F23"/>
    <mergeCell ref="E27:F27"/>
    <mergeCell ref="A29:H29"/>
    <mergeCell ref="A25:C25"/>
    <mergeCell ref="A27:C27"/>
    <mergeCell ref="E28:F28"/>
    <mergeCell ref="E21:F21"/>
    <mergeCell ref="A26:C26"/>
    <mergeCell ref="G21:H21"/>
    <mergeCell ref="A23:C23"/>
    <mergeCell ref="A24:C24"/>
    <mergeCell ref="G23:H28"/>
    <mergeCell ref="A28:C28"/>
    <mergeCell ref="A1:N2"/>
    <mergeCell ref="A33:B33"/>
    <mergeCell ref="D83:E83"/>
    <mergeCell ref="A84:B84"/>
    <mergeCell ref="A38:B38"/>
    <mergeCell ref="A82:B82"/>
    <mergeCell ref="A67:B68"/>
    <mergeCell ref="B13:C13"/>
    <mergeCell ref="A53:B53"/>
    <mergeCell ref="A41:B41"/>
    <mergeCell ref="A44:B44"/>
    <mergeCell ref="A50:B50"/>
    <mergeCell ref="C31:D31"/>
    <mergeCell ref="C32:D32"/>
    <mergeCell ref="A51:B51"/>
    <mergeCell ref="A47:B47"/>
    <mergeCell ref="A43:B43"/>
    <mergeCell ref="A55:B55"/>
    <mergeCell ref="A42:B42"/>
    <mergeCell ref="A45:B45"/>
    <mergeCell ref="A40:B40"/>
    <mergeCell ref="A37:B37"/>
    <mergeCell ref="G33:H33"/>
    <mergeCell ref="A46:B46"/>
    <mergeCell ref="A61:B61"/>
    <mergeCell ref="A63:B63"/>
    <mergeCell ref="A96:B96"/>
    <mergeCell ref="A85:B85"/>
    <mergeCell ref="A86:B86"/>
    <mergeCell ref="A92:B92"/>
    <mergeCell ref="A95:B95"/>
    <mergeCell ref="G67:H68"/>
    <mergeCell ref="E62:F62"/>
    <mergeCell ref="G61:H61"/>
    <mergeCell ref="A83:B83"/>
    <mergeCell ref="A70:H81"/>
    <mergeCell ref="C68:D68"/>
    <mergeCell ref="E67:F68"/>
    <mergeCell ref="C67:D67"/>
    <mergeCell ref="A64:B64"/>
    <mergeCell ref="A65:B65"/>
    <mergeCell ref="A93:B93"/>
    <mergeCell ref="A94:B94"/>
    <mergeCell ref="A91:B91"/>
    <mergeCell ref="A88:B88"/>
    <mergeCell ref="A90:B90"/>
    <mergeCell ref="A89:B89"/>
    <mergeCell ref="B12:C12"/>
    <mergeCell ref="A7:H7"/>
    <mergeCell ref="L59:N67"/>
    <mergeCell ref="A34:B34"/>
    <mergeCell ref="A35:B35"/>
    <mergeCell ref="A36:B36"/>
    <mergeCell ref="C61:D61"/>
    <mergeCell ref="A39:B39"/>
    <mergeCell ref="A49:B49"/>
    <mergeCell ref="A48:B48"/>
    <mergeCell ref="A66:B66"/>
    <mergeCell ref="C66:H66"/>
    <mergeCell ref="G62:H62"/>
    <mergeCell ref="C59:D59"/>
    <mergeCell ref="E59:F59"/>
    <mergeCell ref="G59:H59"/>
    <mergeCell ref="C60:D60"/>
    <mergeCell ref="A60:B60"/>
    <mergeCell ref="A59:B59"/>
    <mergeCell ref="C65:H65"/>
    <mergeCell ref="A62:B62"/>
    <mergeCell ref="C64:H64"/>
    <mergeCell ref="E61:F61"/>
    <mergeCell ref="E60:F60"/>
    <mergeCell ref="G12:H12"/>
    <mergeCell ref="G13:H13"/>
    <mergeCell ref="G60:H60"/>
    <mergeCell ref="C62:D62"/>
    <mergeCell ref="A8:H8"/>
    <mergeCell ref="A9:H9"/>
    <mergeCell ref="A54:B54"/>
    <mergeCell ref="A56:B56"/>
    <mergeCell ref="A4:B4"/>
    <mergeCell ref="A5:B5"/>
    <mergeCell ref="A6:B6"/>
    <mergeCell ref="C4:H4"/>
    <mergeCell ref="C5:H5"/>
    <mergeCell ref="C6:H6"/>
    <mergeCell ref="A52:B52"/>
    <mergeCell ref="A58:H58"/>
    <mergeCell ref="A30:H30"/>
    <mergeCell ref="E24:F24"/>
    <mergeCell ref="E26:F26"/>
    <mergeCell ref="B11:C11"/>
    <mergeCell ref="G10:H10"/>
    <mergeCell ref="E10:F10"/>
    <mergeCell ref="E18:F18"/>
    <mergeCell ref="E19:F19"/>
    <mergeCell ref="G14:H14"/>
    <mergeCell ref="G20:H20"/>
    <mergeCell ref="B10:C10"/>
    <mergeCell ref="G11:H11"/>
    <mergeCell ref="E11:F11"/>
    <mergeCell ref="G17:H17"/>
    <mergeCell ref="G18:H18"/>
    <mergeCell ref="E20:F20"/>
    <mergeCell ref="E12:F12"/>
    <mergeCell ref="E13:F13"/>
    <mergeCell ref="E14:F14"/>
    <mergeCell ref="B20:C20"/>
    <mergeCell ref="G19:H19"/>
    <mergeCell ref="B18:C18"/>
    <mergeCell ref="B17:C17"/>
    <mergeCell ref="B16:C16"/>
    <mergeCell ref="B19:C19"/>
    <mergeCell ref="E17:F17"/>
    <mergeCell ref="B14:C14"/>
    <mergeCell ref="B15:C15"/>
    <mergeCell ref="E15:F15"/>
    <mergeCell ref="G15:H15"/>
    <mergeCell ref="E16:F16"/>
    <mergeCell ref="G16:H16"/>
  </mergeCells>
  <phoneticPr fontId="2" type="noConversion"/>
  <dataValidations xWindow="245" yWindow="334" count="14">
    <dataValidation allowBlank="1" showErrorMessage="1" promptTitle="Formel" prompt="Konsensmenge] * 3,6 *24_x000a_" sqref="D65 E65 C65:C66 F65:H65" xr:uid="{00000000-0002-0000-0600-000000000000}"/>
    <dataValidation allowBlank="1" showErrorMessage="1" promptTitle="Formel" prompt="Maximum von Vs" sqref="C61:H61" xr:uid="{00000000-0002-0000-0600-000001000000}"/>
    <dataValidation allowBlank="1" showErrorMessage="1" promptTitle="Formel" prompt="As*kf*1000" sqref="C64" xr:uid="{00000000-0002-0000-0600-000002000000}"/>
    <dataValidation allowBlank="1" showInputMessage="1" showErrorMessage="1" promptTitle="Formel" prompt="Vs = (qs * Aent) / 1.000" sqref="D35 F35 H35" xr:uid="{00000000-0002-0000-0600-000003000000}"/>
    <dataValidation allowBlank="1" showInputMessage="1" showErrorMessage="1" promptTitle="Formel" prompt="qv = kf * β * D * (As / Aent) * 60.000" sqref="R35" xr:uid="{00000000-0002-0000-0600-000004000000}"/>
    <dataValidation allowBlank="1" showErrorMessage="1" prompt="aus ehyd-Datenbank" sqref="G34 E34 C34" xr:uid="{00000000-0002-0000-0600-000005000000}"/>
    <dataValidation type="whole" operator="equal" showInputMessage="1" showErrorMessage="1" sqref="C33" xr:uid="{00000000-0002-0000-0600-000006000000}">
      <formula1>1</formula1>
    </dataValidation>
    <dataValidation allowBlank="1" showErrorMessage="1" sqref="I30:I38 J34:J38 J30:K33 L30:N38 K35:K38" xr:uid="{00000000-0002-0000-0600-000007000000}"/>
    <dataValidation allowBlank="1" showErrorMessage="1" promptTitle="Formel" prompt="Vs = (qs * Aent) / 1.000" sqref="D34 F34 H34" xr:uid="{00000000-0002-0000-0600-000008000000}"/>
    <dataValidation type="decimal" allowBlank="1" showErrorMessage="1" sqref="E25" xr:uid="{00000000-0002-0000-0600-000009000000}">
      <formula1>0.2</formula1>
      <formula2>1</formula2>
    </dataValidation>
    <dataValidation type="decimal" allowBlank="1" showErrorMessage="1" prompt="Kies 1*10-1 - 1*10-3_x000a_sandiger Kies 1*10-3 - 1*10-4_x000a_Mittelsand 1*10-3 bis 1*10-5_x000a_humoser Oberboden 1*10-3 - 1*10-6_x000a_schluffiger Sand 1*10-5 - 1*10-7_x000a_Schluff 1*10-6 - 1*10-9_x000a_toniger Schluff 1*10-7 - 1*10-11_x000a__x000a_" sqref="E23" xr:uid="{00000000-0002-0000-0600-00000A000000}">
      <formula1>0.0000001</formula1>
      <formula2>0.1</formula2>
    </dataValidation>
    <dataValidation allowBlank="1" showErrorMessage="1" promptTitle="Hinweis" prompt="Der Faktor ist von der Herkunft des kf-Wertes abhängig. _x000a_Feldversuch: 1_x000a_Literatur: 0,5_x000a_Sieblinie: 0,1" sqref="E24:F24" xr:uid="{00000000-0002-0000-0600-00000B000000}"/>
    <dataValidation allowBlank="1" showInputMessage="1" showErrorMessage="1" promptTitle="An" prompt="Horizontalprojektion der jeweiligen Teilentwässerungsfläche in [m²]" sqref="E10" xr:uid="{00000000-0002-0000-0600-00000C000000}"/>
    <dataValidation type="decimal" allowBlank="1" showInputMessage="1" showErrorMessage="1" sqref="D11:D20" xr:uid="{00000000-0002-0000-0600-00000D000000}">
      <formula1>0</formula1>
      <formula2>1</formula2>
    </dataValidation>
  </dataValidations>
  <pageMargins left="0.70866141732283472" right="0.70866141732283472" top="0.74803149606299213" bottom="0.74803149606299213" header="0.31496062992125984" footer="0.31496062992125984"/>
  <pageSetup paperSize="9" scale="91" orientation="portrait" horizontalDpi="4294967293" r:id="rId1"/>
  <headerFooter alignWithMargins="0">
    <oddHeader xml:space="preserve">&amp;C&amp;"Arial,Fett"&amp;16SICKERMULDEN UND -BECKEN, RASENFLÄCHE
</oddHeader>
    <oddFooter>&amp;R&amp;8Seite &amp;P von 2</oddFooter>
  </headerFooter>
  <rowBreaks count="1" manualBreakCount="1">
    <brk id="68" max="16383" man="1"/>
  </rowBreaks>
  <ignoredErrors>
    <ignoredError sqref="V36:V56" formula="1"/>
  </ignoredError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9">
    <tabColor rgb="FF92D050"/>
  </sheetPr>
  <dimension ref="A1:W98"/>
  <sheetViews>
    <sheetView showGridLines="0" topLeftCell="A24" zoomScaleNormal="100" workbookViewId="0">
      <selection activeCell="C36" sqref="C36:D36"/>
    </sheetView>
  </sheetViews>
  <sheetFormatPr baseColWidth="10" defaultRowHeight="12.75" x14ac:dyDescent="0.2"/>
  <cols>
    <col min="1" max="1" width="11.5703125" customWidth="1"/>
    <col min="2" max="2" width="10.42578125" style="1" customWidth="1"/>
    <col min="3" max="8" width="10.85546875" style="1" customWidth="1"/>
    <col min="9" max="9" width="12" style="1" bestFit="1" customWidth="1"/>
    <col min="10" max="10" width="39.85546875" style="1" customWidth="1"/>
    <col min="11" max="13" width="34.7109375" style="1" customWidth="1"/>
    <col min="14" max="14" width="10.7109375" customWidth="1"/>
    <col min="15" max="16" width="2.28515625" customWidth="1"/>
    <col min="17" max="17" width="28.42578125" style="22" customWidth="1"/>
    <col min="18" max="18" width="16.85546875" style="22" bestFit="1" customWidth="1"/>
    <col min="19" max="19" width="16.85546875" style="22" customWidth="1"/>
    <col min="20" max="21" width="16.28515625" customWidth="1"/>
  </cols>
  <sheetData>
    <row r="1" spans="1:19" ht="11.25" hidden="1" customHeight="1" x14ac:dyDescent="0.2">
      <c r="A1" s="428" t="s">
        <v>102</v>
      </c>
      <c r="B1" s="429"/>
      <c r="C1" s="429"/>
      <c r="D1" s="429"/>
      <c r="E1" s="429"/>
      <c r="F1" s="429"/>
      <c r="G1" s="429"/>
      <c r="H1" s="429"/>
      <c r="I1" s="67"/>
      <c r="J1" s="67"/>
      <c r="K1" s="67"/>
      <c r="L1" s="67"/>
      <c r="M1" s="67"/>
      <c r="N1" s="68"/>
    </row>
    <row r="2" spans="1:19" ht="7.5" hidden="1" customHeight="1" thickBot="1" x14ac:dyDescent="0.25">
      <c r="A2" s="430"/>
      <c r="B2" s="431"/>
      <c r="C2" s="431"/>
      <c r="D2" s="431"/>
      <c r="E2" s="431"/>
      <c r="F2" s="431"/>
      <c r="G2" s="431"/>
      <c r="H2" s="431"/>
      <c r="I2" s="71"/>
      <c r="J2" s="71"/>
      <c r="K2" s="71"/>
      <c r="L2" s="71"/>
      <c r="M2" s="71"/>
      <c r="N2" s="72"/>
    </row>
    <row r="3" spans="1:19" ht="0.75" customHeight="1" thickBot="1" x14ac:dyDescent="0.25">
      <c r="A3" s="164"/>
      <c r="B3" s="164"/>
      <c r="C3" s="164"/>
      <c r="D3" s="164"/>
      <c r="E3" s="164"/>
      <c r="F3" s="164"/>
      <c r="G3" s="164"/>
      <c r="H3" s="164"/>
      <c r="I3" s="85"/>
      <c r="J3" s="85"/>
      <c r="K3" s="85"/>
      <c r="L3" s="85"/>
      <c r="M3" s="85"/>
      <c r="N3" s="85"/>
      <c r="O3" s="22"/>
      <c r="P3" s="22"/>
    </row>
    <row r="4" spans="1:19" ht="9.75" customHeight="1" thickBot="1" x14ac:dyDescent="0.25">
      <c r="A4" s="432"/>
      <c r="B4" s="432"/>
      <c r="C4" s="432"/>
      <c r="D4" s="432"/>
      <c r="E4" s="432"/>
      <c r="F4" s="432"/>
      <c r="G4" s="432"/>
      <c r="H4" s="433" t="str">
        <f>Einführung!L4</f>
        <v>v01.15</v>
      </c>
      <c r="I4" s="85"/>
      <c r="J4" s="85"/>
      <c r="K4" s="85"/>
      <c r="L4" s="85"/>
      <c r="M4" s="85"/>
      <c r="N4" s="85"/>
      <c r="O4" s="22"/>
      <c r="P4" s="22"/>
    </row>
    <row r="5" spans="1:19" ht="13.5" customHeight="1" x14ac:dyDescent="0.2">
      <c r="A5" s="1014" t="s">
        <v>121</v>
      </c>
      <c r="B5" s="1015"/>
      <c r="C5" s="1016" t="str">
        <f>'Bemessungsregendaten, kfu'!E4</f>
        <v>Testprojekt</v>
      </c>
      <c r="D5" s="1016"/>
      <c r="E5" s="1016"/>
      <c r="F5" s="1016"/>
      <c r="G5" s="1016"/>
      <c r="H5" s="1017"/>
      <c r="I5" s="85"/>
      <c r="J5" s="85"/>
      <c r="K5" s="85"/>
      <c r="L5" s="85"/>
      <c r="M5" s="85"/>
      <c r="N5" s="85"/>
      <c r="O5" s="22"/>
      <c r="P5" s="22"/>
    </row>
    <row r="6" spans="1:19" ht="13.5" customHeight="1" x14ac:dyDescent="0.2">
      <c r="A6" s="1018" t="s">
        <v>119</v>
      </c>
      <c r="B6" s="1019"/>
      <c r="C6" s="1020" t="str">
        <f>'Bemessungsregendaten, kfu'!E5</f>
        <v>Max Mustermann</v>
      </c>
      <c r="D6" s="1020"/>
      <c r="E6" s="1020"/>
      <c r="F6" s="1020"/>
      <c r="G6" s="1020"/>
      <c r="H6" s="1021"/>
      <c r="K6" s="85"/>
      <c r="L6" s="85"/>
      <c r="M6" s="85"/>
      <c r="N6" s="85"/>
      <c r="O6" s="22"/>
      <c r="P6" s="22"/>
    </row>
    <row r="7" spans="1:19" ht="13.5" customHeight="1" thickBot="1" x14ac:dyDescent="0.25">
      <c r="A7" s="1022" t="s">
        <v>120</v>
      </c>
      <c r="B7" s="1023"/>
      <c r="C7" s="997" t="str">
        <f>'Bemessungsregendaten, kfu'!E6</f>
        <v>Testprojekt</v>
      </c>
      <c r="D7" s="997"/>
      <c r="E7" s="997"/>
      <c r="F7" s="997"/>
      <c r="G7" s="997"/>
      <c r="H7" s="998"/>
      <c r="K7" s="85"/>
      <c r="L7" s="85"/>
      <c r="M7" s="85"/>
      <c r="N7" s="85"/>
      <c r="O7" s="22"/>
      <c r="P7" s="22"/>
    </row>
    <row r="8" spans="1:19" ht="4.5" customHeight="1" thickBot="1" x14ac:dyDescent="0.25">
      <c r="A8" s="1003"/>
      <c r="B8" s="1003"/>
      <c r="C8" s="1003"/>
      <c r="D8" s="1003"/>
      <c r="E8" s="1003"/>
      <c r="F8" s="1003"/>
      <c r="G8" s="1003"/>
      <c r="H8" s="1003"/>
      <c r="I8" s="54"/>
      <c r="J8" s="54"/>
      <c r="K8" s="54"/>
      <c r="L8" s="54"/>
      <c r="M8" s="54"/>
      <c r="N8" s="54"/>
      <c r="O8" s="22"/>
      <c r="P8" s="22"/>
    </row>
    <row r="9" spans="1:19" ht="11.85" customHeight="1" thickBot="1" x14ac:dyDescent="0.25">
      <c r="A9" s="973" t="s">
        <v>106</v>
      </c>
      <c r="B9" s="974"/>
      <c r="C9" s="974"/>
      <c r="D9" s="974"/>
      <c r="E9" s="974"/>
      <c r="F9" s="974"/>
      <c r="G9" s="974"/>
      <c r="H9" s="975"/>
      <c r="I9" s="55"/>
      <c r="J9" s="55"/>
      <c r="K9" s="55"/>
      <c r="L9" s="55"/>
      <c r="M9" s="55"/>
      <c r="N9" s="55"/>
      <c r="O9" s="23"/>
    </row>
    <row r="10" spans="1:19" ht="13.5" thickBot="1" x14ac:dyDescent="0.25">
      <c r="A10" s="999" t="s">
        <v>141</v>
      </c>
      <c r="B10" s="1000"/>
      <c r="C10" s="1000"/>
      <c r="D10" s="1000"/>
      <c r="E10" s="1000"/>
      <c r="F10" s="1000"/>
      <c r="G10" s="1000"/>
      <c r="H10" s="1001"/>
      <c r="I10" s="54"/>
      <c r="J10" s="54"/>
      <c r="K10" s="54"/>
      <c r="L10" s="54"/>
      <c r="M10" s="54"/>
      <c r="N10" s="54"/>
    </row>
    <row r="11" spans="1:19" s="32" customFormat="1" ht="25.5" customHeight="1" thickBot="1" x14ac:dyDescent="0.25">
      <c r="A11" s="162" t="s">
        <v>260</v>
      </c>
      <c r="B11" s="1026" t="s">
        <v>23</v>
      </c>
      <c r="C11" s="1027"/>
      <c r="D11" s="360" t="s">
        <v>127</v>
      </c>
      <c r="E11" s="1028" t="s">
        <v>123</v>
      </c>
      <c r="F11" s="1029"/>
      <c r="G11" s="1024" t="s">
        <v>124</v>
      </c>
      <c r="H11" s="1025"/>
      <c r="I11" s="51"/>
      <c r="J11" s="56"/>
      <c r="K11" s="56"/>
      <c r="L11" s="56"/>
      <c r="M11" s="56"/>
      <c r="N11" s="56"/>
      <c r="Q11" s="249"/>
      <c r="R11" s="249"/>
      <c r="S11" s="249"/>
    </row>
    <row r="12" spans="1:19" s="32" customFormat="1" ht="10.5" customHeight="1" x14ac:dyDescent="0.2">
      <c r="A12" s="434" t="s">
        <v>57</v>
      </c>
      <c r="B12" s="1032" t="str">
        <f>IF(SIR!B10="","",SIR!B10)</f>
        <v>Carport</v>
      </c>
      <c r="C12" s="1030"/>
      <c r="D12" s="394">
        <f>IF(SIR!G10="","",SIR!G10)</f>
        <v>1</v>
      </c>
      <c r="E12" s="1030">
        <f>IF(SIR!E10="","",SIR!E10)</f>
        <v>20.37</v>
      </c>
      <c r="F12" s="1031"/>
      <c r="G12" s="1035">
        <f>SIR!I10/SIR!$H$29</f>
        <v>10.185</v>
      </c>
      <c r="H12" s="1036"/>
      <c r="I12" s="52"/>
      <c r="J12" s="56"/>
      <c r="K12" s="56"/>
      <c r="L12" s="56"/>
      <c r="M12" s="56"/>
      <c r="N12" s="56"/>
      <c r="Q12" s="249"/>
      <c r="R12" s="249"/>
      <c r="S12" s="249"/>
    </row>
    <row r="13" spans="1:19" s="32" customFormat="1" ht="10.5" customHeight="1" x14ac:dyDescent="0.2">
      <c r="A13" s="435" t="s">
        <v>58</v>
      </c>
      <c r="B13" s="986" t="str">
        <f>IF(SIR!B11="","",SIR!B11)</f>
        <v>Windfang</v>
      </c>
      <c r="C13" s="987"/>
      <c r="D13" s="361">
        <f>IF(SIR!G11="","",SIR!G11)</f>
        <v>1</v>
      </c>
      <c r="E13" s="987">
        <f>IF(SIR!E11="","",SIR!E11)</f>
        <v>11.03</v>
      </c>
      <c r="F13" s="1002"/>
      <c r="G13" s="992">
        <f>SIR!I11/SIR!$H$29</f>
        <v>5.5149999999999997</v>
      </c>
      <c r="H13" s="987"/>
      <c r="I13" s="52"/>
      <c r="J13" s="56"/>
      <c r="K13" s="56"/>
      <c r="L13" s="56"/>
      <c r="M13" s="56"/>
      <c r="N13" s="56"/>
      <c r="Q13" s="249"/>
      <c r="R13" s="249"/>
      <c r="S13" s="249"/>
    </row>
    <row r="14" spans="1:19" s="32" customFormat="1" ht="10.5" customHeight="1" x14ac:dyDescent="0.2">
      <c r="A14" s="435" t="s">
        <v>59</v>
      </c>
      <c r="B14" s="986" t="str">
        <f>IF(SIR!B12="","",SIR!B12)</f>
        <v>Zubau-Dach</v>
      </c>
      <c r="C14" s="987"/>
      <c r="D14" s="361">
        <f>IF(SIR!G12="","",SIR!G12)</f>
        <v>1</v>
      </c>
      <c r="E14" s="987">
        <f>IF(SIR!E12="","",SIR!E12)</f>
        <v>37.68</v>
      </c>
      <c r="F14" s="1002"/>
      <c r="G14" s="992">
        <f>SIR!I12/SIR!$H$29</f>
        <v>18.84</v>
      </c>
      <c r="H14" s="987"/>
      <c r="I14" s="52"/>
      <c r="J14" s="56"/>
      <c r="K14" s="56"/>
      <c r="L14" s="56"/>
      <c r="M14" s="56"/>
      <c r="N14" s="56"/>
      <c r="Q14" s="249"/>
      <c r="R14" s="249"/>
      <c r="S14" s="249"/>
    </row>
    <row r="15" spans="1:19" s="32" customFormat="1" ht="10.5" customHeight="1" x14ac:dyDescent="0.2">
      <c r="A15" s="435" t="s">
        <v>60</v>
      </c>
      <c r="B15" s="986" t="str">
        <f>IF(SIR!B13="","",SIR!B13)</f>
        <v>Terrasse</v>
      </c>
      <c r="C15" s="987"/>
      <c r="D15" s="361">
        <f>IF(SIR!G13="","",SIR!G13)</f>
        <v>1</v>
      </c>
      <c r="E15" s="987">
        <f>IF(SIR!E13="","",SIR!E13)</f>
        <v>34.799999999999997</v>
      </c>
      <c r="F15" s="1002"/>
      <c r="G15" s="992">
        <f>SIR!I13/SIR!$H$29</f>
        <v>17.399999999999999</v>
      </c>
      <c r="H15" s="987"/>
      <c r="I15" s="52"/>
      <c r="J15" s="56"/>
      <c r="K15" s="56"/>
      <c r="L15" s="56"/>
      <c r="M15" s="56"/>
      <c r="N15" s="56"/>
      <c r="Q15" s="249"/>
      <c r="R15" s="249"/>
      <c r="S15" s="249"/>
    </row>
    <row r="16" spans="1:19" s="32" customFormat="1" ht="10.5" customHeight="1" thickBot="1" x14ac:dyDescent="0.25">
      <c r="A16" s="436" t="s">
        <v>61</v>
      </c>
      <c r="B16" s="990" t="str">
        <f>IF(SIR!B14="","",SIR!B14)</f>
        <v>Treppe</v>
      </c>
      <c r="C16" s="991"/>
      <c r="D16" s="362" t="str">
        <f>IF(SIR!G14="","",SIR!G14)</f>
        <v/>
      </c>
      <c r="E16" s="991" t="str">
        <f>IF(SIR!E14="","",SIR!E14)</f>
        <v/>
      </c>
      <c r="F16" s="1007"/>
      <c r="G16" s="1112">
        <f>SIR!I14/SIR!$H$29</f>
        <v>0</v>
      </c>
      <c r="H16" s="991"/>
      <c r="I16" s="52"/>
      <c r="J16" s="56"/>
      <c r="K16" s="56"/>
      <c r="L16" s="56"/>
      <c r="M16" s="56"/>
      <c r="N16" s="56"/>
      <c r="Q16" s="249"/>
      <c r="R16" s="249"/>
      <c r="S16" s="249"/>
    </row>
    <row r="17" spans="1:23" ht="13.5" thickBot="1" x14ac:dyDescent="0.25">
      <c r="A17" s="437"/>
      <c r="B17" s="1012" t="s">
        <v>128</v>
      </c>
      <c r="C17" s="1013"/>
      <c r="D17" s="996"/>
      <c r="E17" s="995">
        <f>SUM(E12:F16)</f>
        <v>103.88</v>
      </c>
      <c r="F17" s="996"/>
      <c r="G17" s="993">
        <f>SUM(G12:H16)</f>
        <v>51.94</v>
      </c>
      <c r="H17" s="994"/>
      <c r="I17" s="53"/>
      <c r="J17" s="54"/>
      <c r="K17" s="54"/>
      <c r="L17" s="12"/>
      <c r="M17" s="12"/>
      <c r="N17" s="23"/>
    </row>
    <row r="18" spans="1:23" ht="0.75" customHeight="1" thickBot="1" x14ac:dyDescent="0.25">
      <c r="A18" s="1004"/>
      <c r="B18" s="1005"/>
      <c r="C18" s="1005"/>
      <c r="D18" s="1005"/>
      <c r="E18" s="1005"/>
      <c r="F18" s="1005"/>
      <c r="G18" s="1005"/>
      <c r="H18" s="1006"/>
      <c r="I18" s="53"/>
      <c r="J18" s="54"/>
      <c r="K18" s="54"/>
      <c r="L18" s="12"/>
      <c r="M18" s="12"/>
      <c r="N18" s="23"/>
    </row>
    <row r="19" spans="1:23" ht="13.5" customHeight="1" x14ac:dyDescent="0.2">
      <c r="A19" s="1033" t="s">
        <v>108</v>
      </c>
      <c r="B19" s="1034"/>
      <c r="C19" s="1034"/>
      <c r="D19" s="1034"/>
      <c r="E19" s="1034"/>
      <c r="F19" s="153" t="s">
        <v>115</v>
      </c>
      <c r="G19" s="1010">
        <f>IF(SIR!J43="","",SIR!J43)</f>
        <v>1E-3</v>
      </c>
      <c r="H19" s="1011"/>
      <c r="I19" s="57"/>
      <c r="J19" s="57"/>
      <c r="K19" s="57"/>
      <c r="L19" s="57"/>
      <c r="M19" s="57"/>
      <c r="N19" s="57"/>
      <c r="O19" s="23"/>
    </row>
    <row r="20" spans="1:23" ht="11.85" customHeight="1" x14ac:dyDescent="0.2">
      <c r="A20" s="1008" t="s">
        <v>51</v>
      </c>
      <c r="B20" s="1009"/>
      <c r="C20" s="1009"/>
      <c r="D20" s="1009"/>
      <c r="E20" s="1009"/>
      <c r="F20" s="154" t="s">
        <v>66</v>
      </c>
      <c r="G20" s="981">
        <f>IF(SIR!J44="","",SIR!J44)</f>
        <v>1</v>
      </c>
      <c r="H20" s="982"/>
      <c r="I20" s="57"/>
      <c r="J20" s="57"/>
      <c r="K20" s="57"/>
      <c r="L20" s="57"/>
      <c r="M20" s="57"/>
      <c r="N20" s="57"/>
      <c r="O20" s="23"/>
      <c r="P20" s="22"/>
      <c r="R20" s="24"/>
      <c r="S20" s="24"/>
      <c r="T20" s="24"/>
      <c r="U20" s="24"/>
    </row>
    <row r="21" spans="1:23" ht="11.85" customHeight="1" x14ac:dyDescent="0.2">
      <c r="A21" s="964" t="s">
        <v>211</v>
      </c>
      <c r="B21" s="965"/>
      <c r="C21" s="965"/>
      <c r="D21" s="965"/>
      <c r="E21" s="965"/>
      <c r="F21" s="155"/>
      <c r="G21" s="969">
        <f>IF(SIR!J45="","",SIR!J45)</f>
        <v>0.1</v>
      </c>
      <c r="H21" s="970"/>
      <c r="I21" s="12"/>
      <c r="J21" s="12"/>
      <c r="K21" s="12"/>
      <c r="L21" s="12"/>
      <c r="M21" s="12"/>
      <c r="N21" s="23"/>
      <c r="O21" s="23"/>
      <c r="P21" s="22"/>
      <c r="R21" s="24"/>
      <c r="S21" s="24"/>
      <c r="T21" s="24"/>
      <c r="U21" s="24"/>
    </row>
    <row r="22" spans="1:23" ht="11.85" customHeight="1" x14ac:dyDescent="0.2">
      <c r="A22" s="1008" t="s">
        <v>228</v>
      </c>
      <c r="B22" s="1009"/>
      <c r="C22" s="1009"/>
      <c r="D22" s="1009"/>
      <c r="E22" s="1009"/>
      <c r="F22" s="156" t="s">
        <v>116</v>
      </c>
      <c r="G22" s="962">
        <f>IF(SIR!I18="","",SIR!I18)</f>
        <v>1E-4</v>
      </c>
      <c r="H22" s="963"/>
      <c r="I22" s="57"/>
      <c r="J22" s="57"/>
      <c r="K22" s="57"/>
      <c r="L22" s="57"/>
      <c r="M22" s="57"/>
      <c r="N22" s="57"/>
      <c r="O22" s="23"/>
    </row>
    <row r="23" spans="1:23" ht="11.85" customHeight="1" x14ac:dyDescent="0.2">
      <c r="A23" s="964" t="s">
        <v>229</v>
      </c>
      <c r="B23" s="965"/>
      <c r="C23" s="965"/>
      <c r="D23" s="965"/>
      <c r="E23" s="966"/>
      <c r="F23" s="154"/>
      <c r="G23" s="981">
        <f>IF(SIR!J46="","",SIR!J46)</f>
        <v>1</v>
      </c>
      <c r="H23" s="982"/>
      <c r="I23" s="57"/>
      <c r="J23" s="57"/>
      <c r="K23" s="57"/>
      <c r="L23" s="57"/>
      <c r="M23" s="57"/>
      <c r="N23" s="57"/>
      <c r="O23" s="23"/>
      <c r="P23" s="22"/>
      <c r="R23" s="24"/>
      <c r="S23" s="24"/>
      <c r="T23" s="24"/>
      <c r="U23" s="24"/>
    </row>
    <row r="24" spans="1:23" ht="11.85" customHeight="1" x14ac:dyDescent="0.2">
      <c r="A24" s="964" t="s">
        <v>131</v>
      </c>
      <c r="B24" s="965"/>
      <c r="C24" s="965"/>
      <c r="D24" s="965"/>
      <c r="E24" s="966"/>
      <c r="F24" s="154" t="s">
        <v>132</v>
      </c>
      <c r="G24" s="969">
        <f>IF(SIR!J47="","",SIR!J47)</f>
        <v>3</v>
      </c>
      <c r="H24" s="970"/>
      <c r="I24" s="260">
        <f>G24^2*PI()/4</f>
        <v>7.0685834705770345</v>
      </c>
      <c r="J24" s="261" t="s">
        <v>265</v>
      </c>
      <c r="K24" s="12"/>
      <c r="L24" s="12"/>
      <c r="M24" s="12"/>
      <c r="N24" s="23"/>
      <c r="O24" s="23"/>
      <c r="P24" s="22"/>
      <c r="R24" s="24"/>
      <c r="S24" s="24"/>
      <c r="T24" s="24"/>
      <c r="U24" s="24"/>
    </row>
    <row r="25" spans="1:23" ht="11.85" customHeight="1" x14ac:dyDescent="0.2">
      <c r="A25" s="158" t="s">
        <v>109</v>
      </c>
      <c r="B25" s="159"/>
      <c r="C25" s="159"/>
      <c r="D25" s="159"/>
      <c r="E25" s="160"/>
      <c r="F25" s="155" t="s">
        <v>212</v>
      </c>
      <c r="G25" s="969">
        <f>IF(SIR!J48="","",SIR!J48)</f>
        <v>0.1</v>
      </c>
      <c r="H25" s="970"/>
      <c r="I25" s="316">
        <f>(G24+2*G25)^2*PI()/4</f>
        <v>8.0424771931898711</v>
      </c>
      <c r="J25" s="261" t="s">
        <v>266</v>
      </c>
      <c r="K25" s="12"/>
      <c r="L25" s="12"/>
      <c r="M25" s="12"/>
      <c r="N25" s="23"/>
      <c r="O25" s="23"/>
      <c r="P25" s="22"/>
      <c r="R25" s="24"/>
      <c r="S25" s="24"/>
      <c r="T25" s="24"/>
      <c r="U25" s="24"/>
    </row>
    <row r="26" spans="1:23" ht="11.85" customHeight="1" x14ac:dyDescent="0.2">
      <c r="A26" s="964" t="s">
        <v>155</v>
      </c>
      <c r="B26" s="965"/>
      <c r="C26" s="965"/>
      <c r="D26" s="965"/>
      <c r="E26" s="966"/>
      <c r="F26" s="155"/>
      <c r="G26" s="969">
        <v>0.5</v>
      </c>
      <c r="H26" s="970"/>
      <c r="I26" s="12"/>
      <c r="J26" s="12"/>
      <c r="K26" s="12"/>
      <c r="L26" s="12"/>
      <c r="M26" s="12"/>
      <c r="N26" s="23"/>
      <c r="O26" s="23"/>
      <c r="P26" s="22"/>
      <c r="R26" s="24"/>
      <c r="S26" s="24"/>
      <c r="T26" s="24"/>
      <c r="U26" s="24"/>
    </row>
    <row r="27" spans="1:23" ht="11.85" customHeight="1" x14ac:dyDescent="0.2">
      <c r="A27" s="964" t="s">
        <v>214</v>
      </c>
      <c r="B27" s="965"/>
      <c r="C27" s="965"/>
      <c r="D27" s="965"/>
      <c r="E27" s="966"/>
      <c r="F27" s="155"/>
      <c r="G27" s="967">
        <f>IF(SIR!J50="","",SIR!J50)</f>
        <v>25</v>
      </c>
      <c r="H27" s="968"/>
      <c r="I27" s="12"/>
      <c r="J27" s="12"/>
      <c r="K27" s="12"/>
      <c r="L27" s="12"/>
      <c r="M27" s="12"/>
      <c r="N27" s="23"/>
      <c r="O27" s="23"/>
      <c r="P27" s="22"/>
      <c r="R27" s="24"/>
      <c r="S27" s="24"/>
      <c r="T27" s="24"/>
      <c r="U27" s="24"/>
    </row>
    <row r="28" spans="1:23" ht="11.85" customHeight="1" x14ac:dyDescent="0.2">
      <c r="A28" s="964" t="s">
        <v>147</v>
      </c>
      <c r="B28" s="965"/>
      <c r="C28" s="965"/>
      <c r="D28" s="965"/>
      <c r="E28" s="966"/>
      <c r="F28" s="155" t="s">
        <v>148</v>
      </c>
      <c r="G28" s="969">
        <f>IF(SIR!H32/100="","",SIR!H32/100)</f>
        <v>0.9</v>
      </c>
      <c r="H28" s="970"/>
      <c r="I28" s="69"/>
      <c r="J28" s="69"/>
      <c r="K28" s="69"/>
      <c r="L28" s="69"/>
      <c r="M28" s="69"/>
      <c r="N28" s="69"/>
      <c r="O28" s="23"/>
      <c r="P28" s="22"/>
      <c r="R28" s="24"/>
      <c r="S28" s="24"/>
      <c r="T28" s="24"/>
      <c r="U28" s="24"/>
    </row>
    <row r="29" spans="1:23" ht="12.75" customHeight="1" thickBot="1" x14ac:dyDescent="0.3">
      <c r="A29" s="988" t="s">
        <v>285</v>
      </c>
      <c r="B29" s="989"/>
      <c r="C29" s="989"/>
      <c r="D29" s="989"/>
      <c r="E29" s="989"/>
      <c r="F29" s="157" t="s">
        <v>286</v>
      </c>
      <c r="G29" s="986">
        <f>SIR!J52</f>
        <v>30</v>
      </c>
      <c r="H29" s="987"/>
      <c r="I29" s="70"/>
      <c r="J29" s="70"/>
      <c r="K29" s="70"/>
      <c r="L29" s="70"/>
      <c r="M29" s="70"/>
      <c r="N29" s="70"/>
      <c r="O29" s="23"/>
      <c r="P29" s="22"/>
      <c r="R29" s="24"/>
      <c r="S29" s="24"/>
      <c r="T29" s="24"/>
      <c r="U29" s="24"/>
    </row>
    <row r="30" spans="1:23" ht="3.75" customHeight="1" thickBot="1" x14ac:dyDescent="0.25">
      <c r="A30" s="983"/>
      <c r="B30" s="984"/>
      <c r="C30" s="984"/>
      <c r="D30" s="984"/>
      <c r="E30" s="984"/>
      <c r="F30" s="984"/>
      <c r="G30" s="984"/>
      <c r="H30" s="985"/>
      <c r="I30" s="60"/>
      <c r="J30" s="60"/>
      <c r="K30" s="60"/>
      <c r="L30" s="60"/>
      <c r="M30" s="60"/>
      <c r="N30" s="60"/>
      <c r="O30" s="23"/>
    </row>
    <row r="31" spans="1:23" ht="21.75" customHeight="1" thickBot="1" x14ac:dyDescent="0.25">
      <c r="A31" s="973" t="s">
        <v>68</v>
      </c>
      <c r="B31" s="974"/>
      <c r="C31" s="974"/>
      <c r="D31" s="974"/>
      <c r="E31" s="974"/>
      <c r="F31" s="974"/>
      <c r="G31" s="974"/>
      <c r="H31" s="975"/>
      <c r="I31" s="55"/>
      <c r="J31" s="55"/>
      <c r="K31" s="55"/>
      <c r="L31" s="55"/>
      <c r="M31" s="55"/>
      <c r="N31" s="55"/>
      <c r="O31" s="23"/>
    </row>
    <row r="32" spans="1:23" s="32" customFormat="1" ht="9.9499999999999993" customHeight="1" x14ac:dyDescent="0.2">
      <c r="A32" s="1118" t="s">
        <v>52</v>
      </c>
      <c r="B32" s="1119"/>
      <c r="C32" s="1109" t="s">
        <v>52</v>
      </c>
      <c r="D32" s="1110"/>
      <c r="E32" s="1110"/>
      <c r="F32" s="1110"/>
      <c r="G32" s="1110"/>
      <c r="H32" s="1111"/>
      <c r="I32" s="44"/>
      <c r="J32" s="44"/>
      <c r="K32" s="912"/>
      <c r="L32" s="912"/>
      <c r="M32" s="44"/>
      <c r="N32" s="44"/>
      <c r="Q32" s="249"/>
      <c r="R32" s="249"/>
      <c r="S32" s="249"/>
      <c r="T32" s="34"/>
      <c r="U32" s="34"/>
      <c r="V32" s="34"/>
      <c r="W32" s="34"/>
    </row>
    <row r="33" spans="1:21" s="32" customFormat="1" ht="12" customHeight="1" x14ac:dyDescent="0.2">
      <c r="A33" s="1120"/>
      <c r="B33" s="1121"/>
      <c r="C33" s="976">
        <f>SIR!J24</f>
        <v>5</v>
      </c>
      <c r="D33" s="977"/>
      <c r="E33" s="977"/>
      <c r="F33" s="977"/>
      <c r="G33" s="977"/>
      <c r="H33" s="978"/>
      <c r="I33" s="45"/>
      <c r="J33" s="46"/>
      <c r="K33" s="913"/>
      <c r="L33" s="913"/>
      <c r="M33" s="45"/>
      <c r="N33" s="45"/>
      <c r="O33" s="41"/>
      <c r="Q33" s="250"/>
      <c r="R33" s="251" t="s">
        <v>152</v>
      </c>
      <c r="S33" s="251" t="s">
        <v>153</v>
      </c>
      <c r="T33" s="246" t="s">
        <v>151</v>
      </c>
      <c r="U33" s="246"/>
    </row>
    <row r="34" spans="1:21" s="39" customFormat="1" ht="22.5" customHeight="1" x14ac:dyDescent="0.2">
      <c r="A34" s="1114" t="s">
        <v>1</v>
      </c>
      <c r="B34" s="1115"/>
      <c r="C34" s="979" t="s">
        <v>114</v>
      </c>
      <c r="D34" s="980"/>
      <c r="E34" s="980" t="s">
        <v>252</v>
      </c>
      <c r="F34" s="980"/>
      <c r="G34" s="980" t="s">
        <v>264</v>
      </c>
      <c r="H34" s="1108"/>
      <c r="I34" s="55"/>
      <c r="J34" s="55"/>
      <c r="K34" s="55"/>
      <c r="L34" s="55"/>
      <c r="M34" s="55"/>
      <c r="N34" s="55"/>
      <c r="O34" s="38"/>
      <c r="P34" s="38"/>
      <c r="Q34" s="252" t="s">
        <v>2</v>
      </c>
      <c r="R34" s="253" t="s">
        <v>171</v>
      </c>
      <c r="S34" s="253" t="s">
        <v>172</v>
      </c>
      <c r="T34" s="247" t="s">
        <v>173</v>
      </c>
      <c r="U34" s="247" t="s">
        <v>174</v>
      </c>
    </row>
    <row r="35" spans="1:21" s="32" customFormat="1" ht="9.9499999999999993" customHeight="1" x14ac:dyDescent="0.2">
      <c r="A35" s="1116" t="s">
        <v>72</v>
      </c>
      <c r="B35" s="1117"/>
      <c r="C35" s="1107">
        <v>0</v>
      </c>
      <c r="D35" s="972"/>
      <c r="E35" s="971">
        <v>0</v>
      </c>
      <c r="F35" s="972"/>
      <c r="G35" s="971">
        <v>0</v>
      </c>
      <c r="H35" s="1113"/>
      <c r="I35" s="55"/>
      <c r="J35" s="55"/>
      <c r="K35" s="55"/>
      <c r="L35" s="55"/>
      <c r="M35" s="55"/>
      <c r="N35" s="55"/>
      <c r="O35" s="36"/>
      <c r="P35" s="36"/>
      <c r="Q35" s="254">
        <v>0</v>
      </c>
      <c r="R35" s="255">
        <v>0</v>
      </c>
      <c r="S35" s="255">
        <v>0</v>
      </c>
      <c r="T35" s="248">
        <v>0</v>
      </c>
      <c r="U35" s="248">
        <v>0</v>
      </c>
    </row>
    <row r="36" spans="1:21" s="32" customFormat="1" ht="9.9499999999999993" customHeight="1" x14ac:dyDescent="0.2">
      <c r="A36" s="956" t="s">
        <v>3</v>
      </c>
      <c r="B36" s="957"/>
      <c r="C36" s="958">
        <f>HLOOKUP($C$33,'Bemessungsregendaten, kfu'!$D$20:$N$41,2,0)</f>
        <v>11.9</v>
      </c>
      <c r="D36" s="959"/>
      <c r="E36" s="960">
        <f>IF($G$17=0,"",IF((T36/1000)*$G$17&gt;0, (T36/1000)*$G$17, 0))</f>
        <v>0</v>
      </c>
      <c r="F36" s="961"/>
      <c r="G36" s="960">
        <f>IF($G$17=0,"",(U36/1000)*$G$17)</f>
        <v>0.16808599999999993</v>
      </c>
      <c r="H36" s="961"/>
      <c r="I36" s="55"/>
      <c r="J36" s="55"/>
      <c r="K36" s="55"/>
      <c r="L36" s="55"/>
      <c r="M36" s="55"/>
      <c r="N36" s="55"/>
      <c r="Q36" s="256">
        <v>5</v>
      </c>
      <c r="R36" s="255">
        <f>Q36*($G$19/2)*$G$20*((($G$24^2*PI())/4)/$G$17)*60000</f>
        <v>20.413698894619856</v>
      </c>
      <c r="S36" s="255">
        <f t="shared" ref="S36:S56" si="0">Q36*($G$22*$G$23)/2*($G$29/$G$17)*60000</f>
        <v>8.6638428956488269</v>
      </c>
      <c r="T36" s="248">
        <f>IF((C36-R36)&gt;0, C36-R36, 0)</f>
        <v>0</v>
      </c>
      <c r="U36" s="248">
        <f>IF((C36-S36)&gt;0, C36-S36, 0)</f>
        <v>3.2361571043511734</v>
      </c>
    </row>
    <row r="37" spans="1:21" s="32" customFormat="1" ht="9.9499999999999993" customHeight="1" x14ac:dyDescent="0.2">
      <c r="A37" s="956" t="s">
        <v>176</v>
      </c>
      <c r="B37" s="957"/>
      <c r="C37" s="958">
        <f>HLOOKUP($C$33,'Bemessungsregendaten, kfu'!$D$20:$N$41,3,0)</f>
        <v>15</v>
      </c>
      <c r="D37" s="959"/>
      <c r="E37" s="960">
        <f t="shared" ref="E37:E56" si="1">IF($G$17=0,"",IF((T37/1000)*$G$17&gt;0, (T37/1000)*$G$17, 0))</f>
        <v>0</v>
      </c>
      <c r="F37" s="961"/>
      <c r="G37" s="960">
        <f t="shared" ref="G37:G56" si="2">IF($G$17=0,"",(U37/1000)*$G$17)</f>
        <v>0</v>
      </c>
      <c r="H37" s="961"/>
      <c r="I37" s="55"/>
      <c r="J37" s="55"/>
      <c r="K37" s="55"/>
      <c r="L37" s="55"/>
      <c r="M37" s="55"/>
      <c r="N37" s="55"/>
      <c r="Q37" s="256">
        <v>10</v>
      </c>
      <c r="R37" s="255">
        <f t="shared" ref="R37:R55" si="3">Q37*($G$19/2)*$G$20*((($G$24^2*PI())/4)/$G$17)*60000</f>
        <v>40.827397789239711</v>
      </c>
      <c r="S37" s="255">
        <f t="shared" si="0"/>
        <v>17.327685791297654</v>
      </c>
      <c r="T37" s="248">
        <f t="shared" ref="T37:T56" si="4">IF((C37-R37)&gt;0, C37-R37, 0)</f>
        <v>0</v>
      </c>
      <c r="U37" s="248">
        <f t="shared" ref="U37:U56" si="5">IF((C37-S37)&gt;0, C37-S37, 0)</f>
        <v>0</v>
      </c>
    </row>
    <row r="38" spans="1:21" s="32" customFormat="1" ht="9.9499999999999993" customHeight="1" x14ac:dyDescent="0.2">
      <c r="A38" s="956" t="s">
        <v>4</v>
      </c>
      <c r="B38" s="957"/>
      <c r="C38" s="958">
        <f>HLOOKUP($C$33,'Bemessungsregendaten, kfu'!$D$20:$N$41,4,0)</f>
        <v>17.2</v>
      </c>
      <c r="D38" s="959"/>
      <c r="E38" s="960">
        <f t="shared" si="1"/>
        <v>0</v>
      </c>
      <c r="F38" s="961"/>
      <c r="G38" s="960">
        <f t="shared" si="2"/>
        <v>0</v>
      </c>
      <c r="H38" s="961"/>
      <c r="I38" s="55"/>
      <c r="J38" s="55"/>
      <c r="K38" s="55"/>
      <c r="L38" s="55"/>
      <c r="M38" s="55"/>
      <c r="N38" s="55"/>
      <c r="Q38" s="256">
        <v>15</v>
      </c>
      <c r="R38" s="255">
        <f t="shared" si="3"/>
        <v>61.24109668385956</v>
      </c>
      <c r="S38" s="255">
        <f t="shared" si="0"/>
        <v>25.991528686946481</v>
      </c>
      <c r="T38" s="248">
        <f t="shared" si="4"/>
        <v>0</v>
      </c>
      <c r="U38" s="248">
        <f t="shared" si="5"/>
        <v>0</v>
      </c>
    </row>
    <row r="39" spans="1:21" s="32" customFormat="1" ht="9.9499999999999993" customHeight="1" x14ac:dyDescent="0.2">
      <c r="A39" s="956" t="s">
        <v>5</v>
      </c>
      <c r="B39" s="957"/>
      <c r="C39" s="958">
        <f>HLOOKUP($C$33,'Bemessungsregendaten, kfu'!$D$20:$N$41,5,0)</f>
        <v>18.899999999999999</v>
      </c>
      <c r="D39" s="959"/>
      <c r="E39" s="960">
        <f t="shared" si="1"/>
        <v>0</v>
      </c>
      <c r="F39" s="961"/>
      <c r="G39" s="960">
        <f t="shared" si="2"/>
        <v>0</v>
      </c>
      <c r="H39" s="961"/>
      <c r="I39" s="55"/>
      <c r="J39" s="55"/>
      <c r="K39" s="55"/>
      <c r="L39" s="55"/>
      <c r="M39" s="55"/>
      <c r="N39" s="55"/>
      <c r="Q39" s="256">
        <v>20</v>
      </c>
      <c r="R39" s="255">
        <f t="shared" si="3"/>
        <v>81.654795578479423</v>
      </c>
      <c r="S39" s="255">
        <f t="shared" si="0"/>
        <v>34.655371582595308</v>
      </c>
      <c r="T39" s="248">
        <f t="shared" si="4"/>
        <v>0</v>
      </c>
      <c r="U39" s="248">
        <f t="shared" si="5"/>
        <v>0</v>
      </c>
    </row>
    <row r="40" spans="1:21" s="32" customFormat="1" ht="9.9499999999999993" customHeight="1" x14ac:dyDescent="0.2">
      <c r="A40" s="956" t="s">
        <v>7</v>
      </c>
      <c r="B40" s="957"/>
      <c r="C40" s="958">
        <f>HLOOKUP($C$33,'Bemessungsregendaten, kfu'!$D$20:$N$41,6,0)</f>
        <v>21.6</v>
      </c>
      <c r="D40" s="959"/>
      <c r="E40" s="960">
        <f t="shared" si="1"/>
        <v>0</v>
      </c>
      <c r="F40" s="961"/>
      <c r="G40" s="960">
        <f t="shared" si="2"/>
        <v>0</v>
      </c>
      <c r="H40" s="961"/>
      <c r="I40" s="55"/>
      <c r="J40" s="55"/>
      <c r="K40" s="55"/>
      <c r="L40" s="55"/>
      <c r="M40" s="55"/>
      <c r="N40" s="55"/>
      <c r="Q40" s="256">
        <v>30</v>
      </c>
      <c r="R40" s="255">
        <f t="shared" si="3"/>
        <v>122.48219336771912</v>
      </c>
      <c r="S40" s="255">
        <f t="shared" si="0"/>
        <v>51.983057373892962</v>
      </c>
      <c r="T40" s="248">
        <f t="shared" si="4"/>
        <v>0</v>
      </c>
      <c r="U40" s="248">
        <f t="shared" si="5"/>
        <v>0</v>
      </c>
    </row>
    <row r="41" spans="1:21" s="32" customFormat="1" ht="9.9499999999999993" customHeight="1" x14ac:dyDescent="0.2">
      <c r="A41" s="956" t="s">
        <v>6</v>
      </c>
      <c r="B41" s="957"/>
      <c r="C41" s="958">
        <f>HLOOKUP($C$33,'Bemessungsregendaten, kfu'!$D$20:$N$41,7,0)</f>
        <v>24.5</v>
      </c>
      <c r="D41" s="959"/>
      <c r="E41" s="960">
        <f t="shared" si="1"/>
        <v>0</v>
      </c>
      <c r="F41" s="961"/>
      <c r="G41" s="960">
        <f t="shared" si="2"/>
        <v>0</v>
      </c>
      <c r="H41" s="961"/>
      <c r="I41" s="55"/>
      <c r="J41" s="55"/>
      <c r="K41" s="55"/>
      <c r="L41" s="55"/>
      <c r="M41" s="55"/>
      <c r="N41" s="55"/>
      <c r="Q41" s="256">
        <v>45</v>
      </c>
      <c r="R41" s="255">
        <f t="shared" si="3"/>
        <v>183.72329005157872</v>
      </c>
      <c r="S41" s="255">
        <f t="shared" si="0"/>
        <v>77.974586060839442</v>
      </c>
      <c r="T41" s="248">
        <f t="shared" si="4"/>
        <v>0</v>
      </c>
      <c r="U41" s="248">
        <f t="shared" si="5"/>
        <v>0</v>
      </c>
    </row>
    <row r="42" spans="1:21" s="32" customFormat="1" ht="9.9499999999999993" customHeight="1" x14ac:dyDescent="0.2">
      <c r="A42" s="956" t="s">
        <v>8</v>
      </c>
      <c r="B42" s="957"/>
      <c r="C42" s="958">
        <f>HLOOKUP($C$33,'Bemessungsregendaten, kfu'!$D$20:$N$41,8,0)</f>
        <v>26.5</v>
      </c>
      <c r="D42" s="959"/>
      <c r="E42" s="960">
        <f t="shared" si="1"/>
        <v>0</v>
      </c>
      <c r="F42" s="961"/>
      <c r="G42" s="960">
        <f t="shared" si="2"/>
        <v>0</v>
      </c>
      <c r="H42" s="961"/>
      <c r="I42" s="55"/>
      <c r="J42" s="55"/>
      <c r="K42" s="55"/>
      <c r="L42" s="55"/>
      <c r="M42" s="55"/>
      <c r="N42" s="55"/>
      <c r="Q42" s="256">
        <v>60</v>
      </c>
      <c r="R42" s="255">
        <f t="shared" si="3"/>
        <v>244.96438673543824</v>
      </c>
      <c r="S42" s="255">
        <f t="shared" si="0"/>
        <v>103.96611474778592</v>
      </c>
      <c r="T42" s="248">
        <f t="shared" si="4"/>
        <v>0</v>
      </c>
      <c r="U42" s="248">
        <f t="shared" si="5"/>
        <v>0</v>
      </c>
    </row>
    <row r="43" spans="1:21" s="32" customFormat="1" ht="9.9499999999999993" customHeight="1" x14ac:dyDescent="0.2">
      <c r="A43" s="956" t="s">
        <v>9</v>
      </c>
      <c r="B43" s="957"/>
      <c r="C43" s="958">
        <f>HLOOKUP($C$33,'Bemessungsregendaten, kfu'!$D$20:$N$41,9,0)</f>
        <v>29.5</v>
      </c>
      <c r="D43" s="959"/>
      <c r="E43" s="960">
        <f t="shared" si="1"/>
        <v>0</v>
      </c>
      <c r="F43" s="961"/>
      <c r="G43" s="960">
        <f t="shared" si="2"/>
        <v>0</v>
      </c>
      <c r="H43" s="961"/>
      <c r="I43" s="55"/>
      <c r="J43" s="55"/>
      <c r="K43" s="55"/>
      <c r="L43" s="55"/>
      <c r="M43" s="55"/>
      <c r="N43" s="55"/>
      <c r="Q43" s="256">
        <v>90</v>
      </c>
      <c r="R43" s="255">
        <f t="shared" si="3"/>
        <v>367.44658010315743</v>
      </c>
      <c r="S43" s="255">
        <f t="shared" si="0"/>
        <v>155.94917212167888</v>
      </c>
      <c r="T43" s="248">
        <f t="shared" si="4"/>
        <v>0</v>
      </c>
      <c r="U43" s="248">
        <f t="shared" si="5"/>
        <v>0</v>
      </c>
    </row>
    <row r="44" spans="1:21" s="32" customFormat="1" ht="9.9499999999999993" customHeight="1" x14ac:dyDescent="0.2">
      <c r="A44" s="956" t="s">
        <v>10</v>
      </c>
      <c r="B44" s="957"/>
      <c r="C44" s="958">
        <f>HLOOKUP($C$33,'Bemessungsregendaten, kfu'!$D$20:$N$41,10,0)</f>
        <v>32</v>
      </c>
      <c r="D44" s="959"/>
      <c r="E44" s="960">
        <f t="shared" si="1"/>
        <v>0</v>
      </c>
      <c r="F44" s="961"/>
      <c r="G44" s="960">
        <f t="shared" si="2"/>
        <v>0</v>
      </c>
      <c r="H44" s="961"/>
      <c r="I44" s="55"/>
      <c r="J44" s="55"/>
      <c r="K44" s="55"/>
      <c r="L44" s="55"/>
      <c r="M44" s="55"/>
      <c r="N44" s="55"/>
      <c r="Q44" s="256">
        <v>120</v>
      </c>
      <c r="R44" s="255">
        <f t="shared" si="3"/>
        <v>489.92877347087648</v>
      </c>
      <c r="S44" s="255">
        <f t="shared" si="0"/>
        <v>207.93222949557185</v>
      </c>
      <c r="T44" s="248">
        <f t="shared" si="4"/>
        <v>0</v>
      </c>
      <c r="U44" s="248">
        <f t="shared" si="5"/>
        <v>0</v>
      </c>
    </row>
    <row r="45" spans="1:21" s="32" customFormat="1" ht="9.9499999999999993" customHeight="1" x14ac:dyDescent="0.2">
      <c r="A45" s="956" t="s">
        <v>11</v>
      </c>
      <c r="B45" s="957"/>
      <c r="C45" s="958">
        <f>HLOOKUP($C$33,'Bemessungsregendaten, kfu'!$D$20:$N$41,11,0)</f>
        <v>36.1</v>
      </c>
      <c r="D45" s="959"/>
      <c r="E45" s="960">
        <f t="shared" si="1"/>
        <v>0</v>
      </c>
      <c r="F45" s="961"/>
      <c r="G45" s="960">
        <f t="shared" si="2"/>
        <v>0</v>
      </c>
      <c r="H45" s="961"/>
      <c r="I45" s="55"/>
      <c r="J45" s="55"/>
      <c r="K45" s="55"/>
      <c r="L45" s="55"/>
      <c r="M45" s="55"/>
      <c r="N45" s="55"/>
      <c r="Q45" s="256">
        <v>180</v>
      </c>
      <c r="R45" s="255">
        <f t="shared" si="3"/>
        <v>734.89316020631486</v>
      </c>
      <c r="S45" s="255">
        <f t="shared" si="0"/>
        <v>311.89834424335777</v>
      </c>
      <c r="T45" s="248">
        <f t="shared" si="4"/>
        <v>0</v>
      </c>
      <c r="U45" s="248">
        <f t="shared" si="5"/>
        <v>0</v>
      </c>
    </row>
    <row r="46" spans="1:21" s="32" customFormat="1" ht="9.9499999999999993" customHeight="1" x14ac:dyDescent="0.2">
      <c r="A46" s="956" t="s">
        <v>12</v>
      </c>
      <c r="B46" s="957"/>
      <c r="C46" s="958">
        <f>HLOOKUP($C$33,'Bemessungsregendaten, kfu'!$D$20:$N$41,12,0)</f>
        <v>39.200000000000003</v>
      </c>
      <c r="D46" s="959"/>
      <c r="E46" s="960">
        <f t="shared" si="1"/>
        <v>0</v>
      </c>
      <c r="F46" s="961"/>
      <c r="G46" s="960">
        <f t="shared" si="2"/>
        <v>0</v>
      </c>
      <c r="H46" s="961"/>
      <c r="I46" s="55"/>
      <c r="J46" s="55"/>
      <c r="K46" s="55"/>
      <c r="L46" s="55"/>
      <c r="M46" s="55"/>
      <c r="N46" s="55"/>
      <c r="Q46" s="256">
        <v>240</v>
      </c>
      <c r="R46" s="255">
        <f t="shared" si="3"/>
        <v>979.85754694175296</v>
      </c>
      <c r="S46" s="255">
        <f t="shared" si="0"/>
        <v>415.86445899114369</v>
      </c>
      <c r="T46" s="248">
        <f t="shared" si="4"/>
        <v>0</v>
      </c>
      <c r="U46" s="248">
        <f t="shared" si="5"/>
        <v>0</v>
      </c>
    </row>
    <row r="47" spans="1:21" s="32" customFormat="1" ht="9.9499999999999993" customHeight="1" x14ac:dyDescent="0.2">
      <c r="A47" s="956" t="s">
        <v>13</v>
      </c>
      <c r="B47" s="957"/>
      <c r="C47" s="958">
        <f>HLOOKUP($C$33,'Bemessungsregendaten, kfu'!$D$20:$N$41,13,0)</f>
        <v>45.8</v>
      </c>
      <c r="D47" s="959"/>
      <c r="E47" s="960">
        <f t="shared" si="1"/>
        <v>0</v>
      </c>
      <c r="F47" s="961"/>
      <c r="G47" s="960">
        <f t="shared" si="2"/>
        <v>0</v>
      </c>
      <c r="H47" s="961"/>
      <c r="I47" s="55"/>
      <c r="J47" s="55"/>
      <c r="K47" s="55"/>
      <c r="L47" s="55"/>
      <c r="M47" s="55"/>
      <c r="N47" s="55"/>
      <c r="Q47" s="256">
        <v>360</v>
      </c>
      <c r="R47" s="255">
        <f t="shared" si="3"/>
        <v>1469.7863204126297</v>
      </c>
      <c r="S47" s="255">
        <f t="shared" si="0"/>
        <v>623.79668848671554</v>
      </c>
      <c r="T47" s="248">
        <f t="shared" si="4"/>
        <v>0</v>
      </c>
      <c r="U47" s="248">
        <f t="shared" si="5"/>
        <v>0</v>
      </c>
    </row>
    <row r="48" spans="1:21" s="32" customFormat="1" ht="9.9499999999999993" customHeight="1" x14ac:dyDescent="0.2">
      <c r="A48" s="956" t="s">
        <v>14</v>
      </c>
      <c r="B48" s="957"/>
      <c r="C48" s="958">
        <f>HLOOKUP($C$33,'Bemessungsregendaten, kfu'!$D$20:$N$41,14,0)</f>
        <v>53.5</v>
      </c>
      <c r="D48" s="959"/>
      <c r="E48" s="960">
        <f t="shared" si="1"/>
        <v>0</v>
      </c>
      <c r="F48" s="961"/>
      <c r="G48" s="960">
        <f t="shared" si="2"/>
        <v>0</v>
      </c>
      <c r="H48" s="961"/>
      <c r="I48" s="55"/>
      <c r="J48" s="55"/>
      <c r="K48" s="55"/>
      <c r="L48" s="55"/>
      <c r="M48" s="55"/>
      <c r="N48" s="55"/>
      <c r="Q48" s="256">
        <v>540</v>
      </c>
      <c r="R48" s="255">
        <f t="shared" si="3"/>
        <v>2204.6794806189446</v>
      </c>
      <c r="S48" s="255">
        <f t="shared" si="0"/>
        <v>935.69503273007319</v>
      </c>
      <c r="T48" s="248">
        <f t="shared" si="4"/>
        <v>0</v>
      </c>
      <c r="U48" s="248">
        <f t="shared" si="5"/>
        <v>0</v>
      </c>
    </row>
    <row r="49" spans="1:21" s="32" customFormat="1" ht="9.9499999999999993" customHeight="1" x14ac:dyDescent="0.2">
      <c r="A49" s="956" t="s">
        <v>15</v>
      </c>
      <c r="B49" s="957"/>
      <c r="C49" s="958">
        <f>HLOOKUP($C$33,'Bemessungsregendaten, kfu'!$D$20:$N$41,15,0)</f>
        <v>59.3</v>
      </c>
      <c r="D49" s="959"/>
      <c r="E49" s="960">
        <f t="shared" si="1"/>
        <v>0</v>
      </c>
      <c r="F49" s="961"/>
      <c r="G49" s="960">
        <f t="shared" si="2"/>
        <v>0</v>
      </c>
      <c r="H49" s="961"/>
      <c r="I49" s="55"/>
      <c r="J49" s="55"/>
      <c r="K49" s="55"/>
      <c r="L49" s="55"/>
      <c r="M49" s="55"/>
      <c r="N49" s="55"/>
      <c r="Q49" s="256">
        <v>720</v>
      </c>
      <c r="R49" s="255">
        <f t="shared" si="3"/>
        <v>2939.5726408252594</v>
      </c>
      <c r="S49" s="255">
        <f t="shared" si="0"/>
        <v>1247.5933769734311</v>
      </c>
      <c r="T49" s="248">
        <f t="shared" si="4"/>
        <v>0</v>
      </c>
      <c r="U49" s="248">
        <f t="shared" si="5"/>
        <v>0</v>
      </c>
    </row>
    <row r="50" spans="1:21" s="32" customFormat="1" ht="9.9499999999999993" customHeight="1" x14ac:dyDescent="0.2">
      <c r="A50" s="956" t="s">
        <v>16</v>
      </c>
      <c r="B50" s="957"/>
      <c r="C50" s="958">
        <f>HLOOKUP($C$33,'Bemessungsregendaten, kfu'!$D$20:$N$41,16,0)</f>
        <v>67.900000000000006</v>
      </c>
      <c r="D50" s="959"/>
      <c r="E50" s="960">
        <f t="shared" si="1"/>
        <v>0</v>
      </c>
      <c r="F50" s="961"/>
      <c r="G50" s="960">
        <f t="shared" si="2"/>
        <v>0</v>
      </c>
      <c r="H50" s="961"/>
      <c r="I50" s="55"/>
      <c r="J50" s="55"/>
      <c r="K50" s="55"/>
      <c r="L50" s="55"/>
      <c r="M50" s="55"/>
      <c r="N50" s="55"/>
      <c r="Q50" s="256">
        <v>1080</v>
      </c>
      <c r="R50" s="255">
        <f t="shared" si="3"/>
        <v>4409.3589612378892</v>
      </c>
      <c r="S50" s="255">
        <f t="shared" si="0"/>
        <v>1871.3900654601464</v>
      </c>
      <c r="T50" s="248">
        <f t="shared" si="4"/>
        <v>0</v>
      </c>
      <c r="U50" s="248">
        <f t="shared" si="5"/>
        <v>0</v>
      </c>
    </row>
    <row r="51" spans="1:21" s="32" customFormat="1" ht="9.9499999999999993" customHeight="1" x14ac:dyDescent="0.2">
      <c r="A51" s="956" t="s">
        <v>17</v>
      </c>
      <c r="B51" s="957"/>
      <c r="C51" s="958">
        <f>HLOOKUP($C$33,'Bemessungsregendaten, kfu'!$D$20:$N$41,17,0)</f>
        <v>70.400000000000006</v>
      </c>
      <c r="D51" s="959"/>
      <c r="E51" s="960">
        <f t="shared" si="1"/>
        <v>0</v>
      </c>
      <c r="F51" s="961"/>
      <c r="G51" s="960">
        <f t="shared" si="2"/>
        <v>0</v>
      </c>
      <c r="H51" s="961"/>
      <c r="I51" s="55"/>
      <c r="J51" s="55"/>
      <c r="K51" s="55"/>
      <c r="L51" s="55"/>
      <c r="M51" s="55"/>
      <c r="N51" s="55"/>
      <c r="Q51" s="256">
        <v>1440</v>
      </c>
      <c r="R51" s="255">
        <f t="shared" si="3"/>
        <v>5879.1452816505189</v>
      </c>
      <c r="S51" s="255">
        <f t="shared" si="0"/>
        <v>2495.1867539468622</v>
      </c>
      <c r="T51" s="248">
        <f t="shared" si="4"/>
        <v>0</v>
      </c>
      <c r="U51" s="248">
        <f t="shared" si="5"/>
        <v>0</v>
      </c>
    </row>
    <row r="52" spans="1:21" s="32" customFormat="1" ht="9.9499999999999993" customHeight="1" x14ac:dyDescent="0.2">
      <c r="A52" s="956" t="s">
        <v>18</v>
      </c>
      <c r="B52" s="957"/>
      <c r="C52" s="958">
        <f>HLOOKUP($C$33,'Bemessungsregendaten, kfu'!$D$20:$N$41,18,0)</f>
        <v>83.6</v>
      </c>
      <c r="D52" s="959"/>
      <c r="E52" s="960">
        <f t="shared" si="1"/>
        <v>0</v>
      </c>
      <c r="F52" s="961"/>
      <c r="G52" s="960">
        <f t="shared" si="2"/>
        <v>0</v>
      </c>
      <c r="H52" s="961"/>
      <c r="I52" s="55"/>
      <c r="J52" s="55"/>
      <c r="K52" s="55"/>
      <c r="L52" s="55"/>
      <c r="M52" s="55"/>
      <c r="N52" s="55"/>
      <c r="Q52" s="256">
        <v>2880</v>
      </c>
      <c r="R52" s="255">
        <f t="shared" si="3"/>
        <v>11758.290563301038</v>
      </c>
      <c r="S52" s="255">
        <f t="shared" si="0"/>
        <v>4990.3735078937243</v>
      </c>
      <c r="T52" s="248">
        <f t="shared" si="4"/>
        <v>0</v>
      </c>
      <c r="U52" s="248">
        <f t="shared" si="5"/>
        <v>0</v>
      </c>
    </row>
    <row r="53" spans="1:21" s="32" customFormat="1" ht="9.9499999999999993" customHeight="1" x14ac:dyDescent="0.2">
      <c r="A53" s="956" t="s">
        <v>19</v>
      </c>
      <c r="B53" s="957"/>
      <c r="C53" s="958">
        <f>HLOOKUP($C$33,'Bemessungsregendaten, kfu'!$D$20:$N$41,19,0)</f>
        <v>92.6</v>
      </c>
      <c r="D53" s="959"/>
      <c r="E53" s="960">
        <f t="shared" si="1"/>
        <v>0</v>
      </c>
      <c r="F53" s="961"/>
      <c r="G53" s="960">
        <f t="shared" si="2"/>
        <v>0</v>
      </c>
      <c r="H53" s="961"/>
      <c r="I53" s="55"/>
      <c r="J53" s="55"/>
      <c r="K53" s="55"/>
      <c r="L53" s="55"/>
      <c r="M53" s="55"/>
      <c r="N53" s="55"/>
      <c r="Q53" s="256">
        <v>4320</v>
      </c>
      <c r="R53" s="255">
        <f t="shared" si="3"/>
        <v>17637.435844951557</v>
      </c>
      <c r="S53" s="255">
        <f t="shared" si="0"/>
        <v>7485.5602618405856</v>
      </c>
      <c r="T53" s="248">
        <f t="shared" si="4"/>
        <v>0</v>
      </c>
      <c r="U53" s="248">
        <f t="shared" si="5"/>
        <v>0</v>
      </c>
    </row>
    <row r="54" spans="1:21" s="32" customFormat="1" ht="9.9499999999999993" customHeight="1" x14ac:dyDescent="0.2">
      <c r="A54" s="956" t="s">
        <v>20</v>
      </c>
      <c r="B54" s="957"/>
      <c r="C54" s="958">
        <f>HLOOKUP($C$33,'Bemessungsregendaten, kfu'!$D$20:$N$41,20,0)</f>
        <v>99.1</v>
      </c>
      <c r="D54" s="959"/>
      <c r="E54" s="960">
        <f t="shared" si="1"/>
        <v>0</v>
      </c>
      <c r="F54" s="961"/>
      <c r="G54" s="960">
        <f t="shared" si="2"/>
        <v>0</v>
      </c>
      <c r="H54" s="961"/>
      <c r="I54" s="55"/>
      <c r="J54" s="55"/>
      <c r="K54" s="55"/>
      <c r="L54" s="55"/>
      <c r="M54" s="55"/>
      <c r="N54" s="55"/>
      <c r="Q54" s="256">
        <v>5760</v>
      </c>
      <c r="R54" s="255">
        <f t="shared" si="3"/>
        <v>23516.581126602076</v>
      </c>
      <c r="S54" s="255">
        <f t="shared" si="0"/>
        <v>9980.7470157874486</v>
      </c>
      <c r="T54" s="248">
        <f t="shared" si="4"/>
        <v>0</v>
      </c>
      <c r="U54" s="248">
        <f t="shared" si="5"/>
        <v>0</v>
      </c>
    </row>
    <row r="55" spans="1:21" s="32" customFormat="1" ht="9.9499999999999993" customHeight="1" x14ac:dyDescent="0.2">
      <c r="A55" s="956" t="s">
        <v>21</v>
      </c>
      <c r="B55" s="957"/>
      <c r="C55" s="958">
        <f>HLOOKUP($C$33,'Bemessungsregendaten, kfu'!$D$20:$N$41,21,0)</f>
        <v>104.4</v>
      </c>
      <c r="D55" s="959"/>
      <c r="E55" s="960">
        <f t="shared" si="1"/>
        <v>0</v>
      </c>
      <c r="F55" s="961"/>
      <c r="G55" s="960">
        <f t="shared" si="2"/>
        <v>0</v>
      </c>
      <c r="H55" s="961"/>
      <c r="I55" s="55"/>
      <c r="J55" s="55"/>
      <c r="K55" s="55"/>
      <c r="L55" s="55"/>
      <c r="M55" s="55"/>
      <c r="N55" s="55"/>
      <c r="Q55" s="256">
        <v>7200</v>
      </c>
      <c r="R55" s="255">
        <f t="shared" si="3"/>
        <v>29395.726408252594</v>
      </c>
      <c r="S55" s="255">
        <f t="shared" si="0"/>
        <v>12475.933769734311</v>
      </c>
      <c r="T55" s="248">
        <f t="shared" si="4"/>
        <v>0</v>
      </c>
      <c r="U55" s="248">
        <f t="shared" si="5"/>
        <v>0</v>
      </c>
    </row>
    <row r="56" spans="1:21" s="32" customFormat="1" ht="9.9499999999999993" customHeight="1" thickBot="1" x14ac:dyDescent="0.25">
      <c r="A56" s="1095" t="s">
        <v>22</v>
      </c>
      <c r="B56" s="1096"/>
      <c r="C56" s="1066">
        <f>HLOOKUP($C$33,'Bemessungsregendaten, kfu'!$D$20:$N$304,22,0)</f>
        <v>110.1</v>
      </c>
      <c r="D56" s="1067"/>
      <c r="E56" s="960">
        <f t="shared" si="1"/>
        <v>0</v>
      </c>
      <c r="F56" s="961"/>
      <c r="G56" s="960">
        <f t="shared" si="2"/>
        <v>0</v>
      </c>
      <c r="H56" s="961"/>
      <c r="I56" s="55"/>
      <c r="J56" s="55"/>
      <c r="K56" s="55"/>
      <c r="L56" s="55"/>
      <c r="M56" s="55"/>
      <c r="N56" s="55"/>
      <c r="Q56" s="256">
        <v>8640</v>
      </c>
      <c r="R56" s="255">
        <f>Q56*($G$19/2)*$G$20*((($G$24^2*PI())/4)/$G$17)*60000</f>
        <v>35274.871689903113</v>
      </c>
      <c r="S56" s="255">
        <f t="shared" si="0"/>
        <v>14971.120523681171</v>
      </c>
      <c r="T56" s="248">
        <f t="shared" si="4"/>
        <v>0</v>
      </c>
      <c r="U56" s="248">
        <f t="shared" si="5"/>
        <v>0</v>
      </c>
    </row>
    <row r="57" spans="1:21" ht="3" customHeight="1" thickBot="1" x14ac:dyDescent="0.25">
      <c r="A57" s="1062"/>
      <c r="B57" s="1062"/>
      <c r="C57" s="1062"/>
      <c r="D57" s="1062"/>
      <c r="E57" s="1062"/>
      <c r="F57" s="1062"/>
      <c r="G57" s="1062"/>
      <c r="H57" s="1062"/>
      <c r="I57" s="55"/>
      <c r="J57" s="55"/>
      <c r="K57" s="55"/>
      <c r="L57" s="55"/>
      <c r="M57" s="55"/>
      <c r="N57" s="55"/>
      <c r="T57" s="33"/>
      <c r="U57" s="33"/>
    </row>
    <row r="58" spans="1:21" ht="15.75" customHeight="1" thickBot="1" x14ac:dyDescent="0.25">
      <c r="A58" s="1059" t="s">
        <v>101</v>
      </c>
      <c r="B58" s="1060"/>
      <c r="C58" s="1060"/>
      <c r="D58" s="1060"/>
      <c r="E58" s="1060"/>
      <c r="F58" s="1060"/>
      <c r="G58" s="1060"/>
      <c r="H58" s="1061"/>
      <c r="I58" s="75"/>
      <c r="J58" s="75"/>
      <c r="K58" s="75"/>
      <c r="L58" s="75"/>
      <c r="M58" s="75"/>
      <c r="N58" s="75"/>
      <c r="R58" s="23"/>
      <c r="S58" s="23"/>
      <c r="T58" s="9"/>
      <c r="U58" s="9"/>
    </row>
    <row r="59" spans="1:21" ht="11.25" customHeight="1" x14ac:dyDescent="0.2">
      <c r="A59" s="290"/>
      <c r="B59" s="291"/>
      <c r="C59" s="291"/>
      <c r="D59" s="291"/>
      <c r="E59" s="1094" t="s">
        <v>146</v>
      </c>
      <c r="F59" s="1094"/>
      <c r="G59" s="1070" t="s">
        <v>154</v>
      </c>
      <c r="H59" s="1071"/>
      <c r="I59" s="75"/>
      <c r="J59" s="75"/>
      <c r="K59" s="75"/>
      <c r="L59" s="75"/>
      <c r="M59" s="75"/>
      <c r="N59" s="75"/>
      <c r="R59" s="23"/>
      <c r="S59" s="23"/>
      <c r="T59" s="9"/>
      <c r="U59" s="9"/>
    </row>
    <row r="60" spans="1:21" ht="13.5" customHeight="1" x14ac:dyDescent="0.2">
      <c r="A60" s="1046" t="s">
        <v>65</v>
      </c>
      <c r="B60" s="1047"/>
      <c r="C60" s="1047"/>
      <c r="D60" s="1047"/>
      <c r="E60" s="1093">
        <f>MAX(E36:E56)</f>
        <v>0</v>
      </c>
      <c r="F60" s="1093"/>
      <c r="G60" s="1068">
        <f>MAX(G35:G56)</f>
        <v>0.16808599999999993</v>
      </c>
      <c r="H60" s="1069"/>
      <c r="I60" s="407">
        <f>G60-G29*(G26+G21)*G27/100</f>
        <v>-4.3319140000000003</v>
      </c>
      <c r="J60" s="244"/>
      <c r="K60" s="12"/>
      <c r="L60" s="1063"/>
      <c r="M60" s="1063"/>
      <c r="N60" s="1063"/>
      <c r="Q60" s="257"/>
    </row>
    <row r="61" spans="1:21" ht="13.5" customHeight="1" x14ac:dyDescent="0.2">
      <c r="A61" s="1046" t="s">
        <v>110</v>
      </c>
      <c r="B61" s="1047"/>
      <c r="C61" s="1047"/>
      <c r="D61" s="1047"/>
      <c r="E61" s="1091">
        <f>E60/I24</f>
        <v>0</v>
      </c>
      <c r="F61" s="1092"/>
      <c r="G61" s="1103">
        <f>(ROUND(I60/(I24+(G29-I25)*G27/100),2))</f>
        <v>-0.34</v>
      </c>
      <c r="H61" s="1104"/>
      <c r="I61" s="12"/>
      <c r="J61" s="12"/>
      <c r="K61" s="12"/>
      <c r="L61" s="1063"/>
      <c r="M61" s="1063"/>
      <c r="N61" s="1063"/>
      <c r="Q61" s="257"/>
    </row>
    <row r="62" spans="1:21" s="19" customFormat="1" ht="11.25" customHeight="1" x14ac:dyDescent="0.2">
      <c r="A62" s="1078" t="s">
        <v>267</v>
      </c>
      <c r="B62" s="1079"/>
      <c r="C62" s="1079"/>
      <c r="D62" s="1079"/>
      <c r="E62" s="1100">
        <f>SIR!H34/100</f>
        <v>2.7</v>
      </c>
      <c r="F62" s="1101"/>
      <c r="G62" s="1101"/>
      <c r="H62" s="1102"/>
      <c r="I62" s="83"/>
      <c r="J62" s="62"/>
      <c r="K62" s="62"/>
      <c r="L62" s="1063"/>
      <c r="M62" s="1063"/>
      <c r="N62" s="1063"/>
      <c r="Q62" s="258"/>
      <c r="R62" s="258"/>
      <c r="S62" s="258"/>
    </row>
    <row r="63" spans="1:21" s="19" customFormat="1" ht="11.25" customHeight="1" x14ac:dyDescent="0.2">
      <c r="A63" s="1051"/>
      <c r="B63" s="1080"/>
      <c r="C63" s="1080"/>
      <c r="D63" s="1080"/>
      <c r="E63" s="1081" t="str">
        <f>IF(E38="","Bitte um Eingabe aller Werte",IF(E62=MAX(E61:H61),"Stauhöhe OK.",IF(E62&gt;MAX(E61:H61),"Stauhöhe OK.","ACHTUNG! Gewählte Stauhöhe zu gering!")))</f>
        <v>Stauhöhe OK.</v>
      </c>
      <c r="F63" s="1082"/>
      <c r="G63" s="1082"/>
      <c r="H63" s="1083"/>
      <c r="I63" s="83"/>
      <c r="J63" s="62"/>
      <c r="K63" s="62"/>
      <c r="L63" s="1063"/>
      <c r="M63" s="1063"/>
      <c r="N63" s="1063"/>
      <c r="Q63" s="258"/>
      <c r="R63" s="258"/>
      <c r="S63" s="258"/>
    </row>
    <row r="64" spans="1:21" s="19" customFormat="1" ht="13.5" customHeight="1" x14ac:dyDescent="0.2">
      <c r="A64" s="1046" t="s">
        <v>156</v>
      </c>
      <c r="B64" s="1047"/>
      <c r="C64" s="1047"/>
      <c r="D64" s="1047"/>
      <c r="E64" s="1085"/>
      <c r="F64" s="1086"/>
      <c r="G64" s="1064">
        <f>E62+G26+G28+G21</f>
        <v>4.2</v>
      </c>
      <c r="H64" s="1065"/>
      <c r="I64" s="62"/>
      <c r="J64" s="62"/>
      <c r="K64" s="62"/>
      <c r="L64" s="1063"/>
      <c r="M64" s="1063"/>
      <c r="N64" s="1063"/>
      <c r="Q64" s="258"/>
      <c r="R64" s="258"/>
      <c r="S64" s="258"/>
    </row>
    <row r="65" spans="1:21" s="19" customFormat="1" ht="13.5" customHeight="1" x14ac:dyDescent="0.2">
      <c r="A65" s="1046" t="s">
        <v>67</v>
      </c>
      <c r="B65" s="1047"/>
      <c r="C65" s="1047"/>
      <c r="D65" s="1047"/>
      <c r="E65" s="1087"/>
      <c r="F65" s="1087"/>
      <c r="G65" s="178" t="str">
        <f>IF((MAX(G35:G56)&gt;0),(INDEX(A35:A56,MATCH(MAX(G35:G56),G35:G56,0))),"-")</f>
        <v>5 min.</v>
      </c>
      <c r="H65" s="245">
        <f>IF((MAX(G35:G56)&gt;0),(INDEX(C35:C56,MATCH(MAX(G35:G56),G35:G56,0))),"-")</f>
        <v>11.9</v>
      </c>
      <c r="I65" s="62"/>
      <c r="J65" s="62"/>
      <c r="K65" s="62"/>
      <c r="L65" s="1063"/>
      <c r="M65" s="1063"/>
      <c r="N65" s="1063"/>
      <c r="Q65" s="258"/>
      <c r="R65" s="258"/>
      <c r="S65" s="258"/>
    </row>
    <row r="66" spans="1:21" s="19" customFormat="1" ht="13.5" customHeight="1" x14ac:dyDescent="0.2">
      <c r="A66" s="1056" t="s">
        <v>175</v>
      </c>
      <c r="B66" s="1084"/>
      <c r="C66" s="1084"/>
      <c r="D66" s="1084"/>
      <c r="E66" s="1088">
        <f>C33</f>
        <v>5</v>
      </c>
      <c r="F66" s="1089"/>
      <c r="G66" s="1089"/>
      <c r="H66" s="1090"/>
      <c r="I66" s="62"/>
      <c r="J66" s="62"/>
      <c r="K66" s="62"/>
      <c r="L66" s="1063"/>
      <c r="M66" s="1063"/>
      <c r="N66" s="1063"/>
      <c r="Q66" s="258"/>
      <c r="R66" s="258"/>
      <c r="S66" s="258"/>
      <c r="U66" s="289">
        <f>MAX(E61:H61)</f>
        <v>0</v>
      </c>
    </row>
    <row r="67" spans="1:21" s="19" customFormat="1" ht="13.5" customHeight="1" x14ac:dyDescent="0.2">
      <c r="A67" s="1056" t="s">
        <v>309</v>
      </c>
      <c r="B67" s="1057"/>
      <c r="C67" s="1057"/>
      <c r="D67" s="1058"/>
      <c r="E67" s="1054">
        <f>I24*(G19*G20)*1000</f>
        <v>7.0685834705770345</v>
      </c>
      <c r="F67" s="1105"/>
      <c r="G67" s="1054">
        <f>G29*(G22*G23)*1000</f>
        <v>3</v>
      </c>
      <c r="H67" s="1055"/>
      <c r="I67" s="62"/>
      <c r="J67" s="134"/>
      <c r="K67" s="62"/>
      <c r="L67" s="1063"/>
      <c r="M67" s="1063"/>
      <c r="N67" s="1063"/>
      <c r="Q67" s="259"/>
      <c r="R67" s="258"/>
      <c r="S67" s="258"/>
    </row>
    <row r="68" spans="1:21" s="19" customFormat="1" ht="13.5" customHeight="1" x14ac:dyDescent="0.2">
      <c r="A68" s="1051" t="s">
        <v>310</v>
      </c>
      <c r="B68" s="1052"/>
      <c r="C68" s="1052"/>
      <c r="D68" s="1053"/>
      <c r="E68" s="1048">
        <f>E67*3.6*24</f>
        <v>610.72561185785582</v>
      </c>
      <c r="F68" s="1049"/>
      <c r="G68" s="1048">
        <f>G67*3.6*24</f>
        <v>259.20000000000005</v>
      </c>
      <c r="H68" s="1050"/>
      <c r="I68" s="62"/>
      <c r="J68" s="134"/>
      <c r="K68" s="62"/>
      <c r="L68" s="1063"/>
      <c r="M68" s="1063"/>
      <c r="N68" s="1063"/>
      <c r="Q68" s="259"/>
      <c r="R68" s="258"/>
      <c r="S68" s="258"/>
    </row>
    <row r="69" spans="1:21" s="19" customFormat="1" ht="13.5" customHeight="1" x14ac:dyDescent="0.2">
      <c r="A69" s="1056" t="s">
        <v>315</v>
      </c>
      <c r="B69" s="1047"/>
      <c r="C69" s="1047"/>
      <c r="D69" s="1106"/>
      <c r="E69" s="1075">
        <f>MIN(E68:H68)</f>
        <v>259.20000000000005</v>
      </c>
      <c r="F69" s="1076"/>
      <c r="G69" s="1076"/>
      <c r="H69" s="1077"/>
      <c r="I69" s="62"/>
      <c r="J69" s="134"/>
      <c r="K69" s="62"/>
      <c r="L69" s="1063"/>
      <c r="M69" s="1063"/>
      <c r="N69" s="1063"/>
      <c r="Q69" s="259"/>
      <c r="R69" s="258"/>
      <c r="S69" s="258"/>
    </row>
    <row r="70" spans="1:21" s="19" customFormat="1" ht="13.5" customHeight="1" x14ac:dyDescent="0.2">
      <c r="A70" s="1051" t="s">
        <v>316</v>
      </c>
      <c r="B70" s="1052"/>
      <c r="C70" s="1052"/>
      <c r="D70" s="1053"/>
      <c r="E70" s="1075">
        <f>'Bemessungsregendaten, kfu'!D36*G17/1000</f>
        <v>2.3165239999999998</v>
      </c>
      <c r="F70" s="1076"/>
      <c r="G70" s="1076"/>
      <c r="H70" s="1077"/>
      <c r="I70" s="62"/>
      <c r="J70" s="62"/>
      <c r="K70" s="62"/>
      <c r="L70" s="1063"/>
      <c r="M70" s="1063"/>
      <c r="N70" s="1063"/>
      <c r="Q70" s="258"/>
      <c r="R70" s="258"/>
      <c r="S70" s="258"/>
    </row>
    <row r="71" spans="1:21" s="19" customFormat="1" ht="13.5" thickBot="1" x14ac:dyDescent="0.25">
      <c r="A71" s="1097" t="s">
        <v>216</v>
      </c>
      <c r="B71" s="1098"/>
      <c r="C71" s="1098"/>
      <c r="D71" s="1098"/>
      <c r="E71" s="1098"/>
      <c r="F71" s="1099"/>
      <c r="G71" s="1072">
        <f>G64+1</f>
        <v>5.2</v>
      </c>
      <c r="H71" s="1073"/>
      <c r="I71" s="1074"/>
      <c r="J71" s="1074"/>
      <c r="K71" s="1074"/>
      <c r="L71" s="1063"/>
      <c r="M71" s="1063"/>
      <c r="N71" s="1063"/>
      <c r="Q71" s="258"/>
      <c r="R71" s="258"/>
      <c r="S71" s="258"/>
    </row>
    <row r="72" spans="1:21" ht="46.5" customHeight="1" thickBot="1" x14ac:dyDescent="0.25">
      <c r="A72" s="280"/>
      <c r="B72" s="280"/>
      <c r="C72" s="280"/>
      <c r="D72" s="280"/>
      <c r="E72" s="280"/>
      <c r="F72" s="280"/>
      <c r="G72" s="280"/>
      <c r="H72" s="280"/>
      <c r="I72" s="64"/>
      <c r="J72" s="64"/>
      <c r="K72" s="64"/>
      <c r="L72" s="64"/>
      <c r="M72" s="64"/>
      <c r="N72" s="64"/>
      <c r="O72" s="23"/>
      <c r="P72" s="23"/>
      <c r="Q72" s="23"/>
    </row>
    <row r="73" spans="1:21" ht="13.5" thickBot="1" x14ac:dyDescent="0.25">
      <c r="A73" s="1037" t="s">
        <v>227</v>
      </c>
      <c r="B73" s="1038"/>
      <c r="C73" s="1038"/>
      <c r="D73" s="1038"/>
      <c r="E73" s="1038"/>
      <c r="F73" s="1038"/>
      <c r="G73" s="1038"/>
      <c r="H73" s="1039"/>
      <c r="I73" s="64"/>
      <c r="J73" s="64"/>
      <c r="K73" s="64"/>
      <c r="L73" s="64"/>
      <c r="M73" s="64"/>
      <c r="N73" s="64"/>
      <c r="O73" s="23"/>
      <c r="P73" s="23"/>
      <c r="Q73" s="23"/>
    </row>
    <row r="74" spans="1:21" ht="19.5" customHeight="1" x14ac:dyDescent="0.2">
      <c r="A74" s="1040"/>
      <c r="B74" s="1041"/>
      <c r="C74" s="1041"/>
      <c r="D74" s="1041"/>
      <c r="E74" s="1041"/>
      <c r="F74" s="1041"/>
      <c r="G74" s="1041"/>
      <c r="H74" s="1042"/>
      <c r="I74" s="64"/>
      <c r="J74" s="64"/>
      <c r="K74" s="64"/>
      <c r="L74" s="64"/>
      <c r="M74" s="64"/>
      <c r="N74" s="64"/>
      <c r="O74" s="23"/>
      <c r="P74" s="23"/>
      <c r="Q74" s="23"/>
    </row>
    <row r="75" spans="1:21" x14ac:dyDescent="0.2">
      <c r="A75" s="1040"/>
      <c r="B75" s="1041"/>
      <c r="C75" s="1041"/>
      <c r="D75" s="1041"/>
      <c r="E75" s="1041"/>
      <c r="F75" s="1041"/>
      <c r="G75" s="1041"/>
      <c r="H75" s="1042"/>
      <c r="I75" s="64"/>
      <c r="J75" s="64"/>
      <c r="K75" s="64"/>
      <c r="L75" s="64"/>
      <c r="M75" s="64"/>
      <c r="N75" s="64"/>
      <c r="O75" s="23"/>
      <c r="P75" s="23"/>
      <c r="Q75" s="23"/>
    </row>
    <row r="76" spans="1:21" ht="28.5" customHeight="1" x14ac:dyDescent="0.2">
      <c r="A76" s="1040"/>
      <c r="B76" s="1041"/>
      <c r="C76" s="1041"/>
      <c r="D76" s="1041"/>
      <c r="E76" s="1041"/>
      <c r="F76" s="1041"/>
      <c r="G76" s="1041"/>
      <c r="H76" s="1042"/>
      <c r="I76" s="64"/>
      <c r="J76" s="64"/>
      <c r="K76" s="64"/>
      <c r="L76" s="64"/>
      <c r="M76" s="64"/>
      <c r="N76" s="64"/>
      <c r="O76" s="23"/>
      <c r="P76" s="23"/>
      <c r="Q76" s="23"/>
    </row>
    <row r="77" spans="1:21" ht="36" customHeight="1" x14ac:dyDescent="0.2">
      <c r="A77" s="1040"/>
      <c r="B77" s="1041"/>
      <c r="C77" s="1041"/>
      <c r="D77" s="1041"/>
      <c r="E77" s="1041"/>
      <c r="F77" s="1041"/>
      <c r="G77" s="1041"/>
      <c r="H77" s="1042"/>
      <c r="I77" s="64"/>
      <c r="J77" s="64"/>
      <c r="K77" s="64"/>
      <c r="L77" s="64"/>
      <c r="M77" s="64"/>
      <c r="N77" s="64"/>
      <c r="O77" s="23"/>
      <c r="P77" s="23"/>
      <c r="Q77" s="23"/>
    </row>
    <row r="78" spans="1:21" ht="72" customHeight="1" x14ac:dyDescent="0.2">
      <c r="A78" s="1040"/>
      <c r="B78" s="1041"/>
      <c r="C78" s="1041"/>
      <c r="D78" s="1041"/>
      <c r="E78" s="1041"/>
      <c r="F78" s="1041"/>
      <c r="G78" s="1041"/>
      <c r="H78" s="1042"/>
      <c r="I78" s="64"/>
      <c r="J78" s="64"/>
      <c r="K78" s="64"/>
      <c r="L78" s="64"/>
      <c r="M78" s="64"/>
      <c r="N78" s="64"/>
      <c r="O78" s="23"/>
      <c r="P78" s="23"/>
      <c r="Q78" s="23"/>
    </row>
    <row r="79" spans="1:21" x14ac:dyDescent="0.2">
      <c r="A79" s="1040"/>
      <c r="B79" s="1041"/>
      <c r="C79" s="1041"/>
      <c r="D79" s="1041"/>
      <c r="E79" s="1041"/>
      <c r="F79" s="1041"/>
      <c r="G79" s="1041"/>
      <c r="H79" s="1042"/>
      <c r="I79" s="64"/>
      <c r="J79" s="64"/>
      <c r="K79" s="64"/>
      <c r="L79" s="64"/>
      <c r="M79" s="64"/>
      <c r="N79" s="64"/>
      <c r="O79" s="23"/>
      <c r="P79" s="23"/>
      <c r="Q79" s="23"/>
    </row>
    <row r="80" spans="1:21" ht="46.5" customHeight="1" x14ac:dyDescent="0.2">
      <c r="A80" s="1040"/>
      <c r="B80" s="1041"/>
      <c r="C80" s="1041"/>
      <c r="D80" s="1041"/>
      <c r="E80" s="1041"/>
      <c r="F80" s="1041"/>
      <c r="G80" s="1041"/>
      <c r="H80" s="1042"/>
      <c r="I80" s="64"/>
      <c r="J80" s="64"/>
      <c r="K80" s="64"/>
      <c r="L80" s="64"/>
      <c r="M80" s="64"/>
      <c r="N80" s="64"/>
      <c r="O80" s="23"/>
      <c r="P80" s="23"/>
      <c r="Q80" s="23"/>
    </row>
    <row r="81" spans="1:21" ht="50.25" customHeight="1" x14ac:dyDescent="0.2">
      <c r="A81" s="1040"/>
      <c r="B81" s="1041"/>
      <c r="C81" s="1041"/>
      <c r="D81" s="1041"/>
      <c r="E81" s="1041"/>
      <c r="F81" s="1041"/>
      <c r="G81" s="1041"/>
      <c r="H81" s="1042"/>
      <c r="I81" s="64"/>
      <c r="J81" s="64"/>
      <c r="K81" s="64"/>
      <c r="L81" s="64"/>
      <c r="M81" s="64"/>
      <c r="N81" s="64"/>
      <c r="O81" s="23"/>
      <c r="P81" s="23"/>
      <c r="Q81" s="23"/>
    </row>
    <row r="82" spans="1:21" ht="6.75" customHeight="1" x14ac:dyDescent="0.2">
      <c r="A82" s="1040"/>
      <c r="B82" s="1041"/>
      <c r="C82" s="1041"/>
      <c r="D82" s="1041"/>
      <c r="E82" s="1041"/>
      <c r="F82" s="1041"/>
      <c r="G82" s="1041"/>
      <c r="H82" s="1042"/>
      <c r="I82" s="64"/>
      <c r="J82" s="64"/>
      <c r="K82" s="64"/>
      <c r="L82" s="64"/>
      <c r="M82" s="64"/>
      <c r="N82" s="64"/>
      <c r="O82" s="23"/>
      <c r="P82" s="23"/>
      <c r="Q82" s="23"/>
    </row>
    <row r="83" spans="1:21" x14ac:dyDescent="0.2">
      <c r="A83" s="1040"/>
      <c r="B83" s="1041"/>
      <c r="C83" s="1041"/>
      <c r="D83" s="1041"/>
      <c r="E83" s="1041"/>
      <c r="F83" s="1041"/>
      <c r="G83" s="1041"/>
      <c r="H83" s="1042"/>
      <c r="I83" s="12"/>
      <c r="J83" s="12"/>
      <c r="K83" s="12"/>
      <c r="L83" s="12"/>
      <c r="M83" s="12"/>
      <c r="N83" s="12"/>
      <c r="O83" s="23"/>
      <c r="P83" s="23"/>
      <c r="Q83" s="23"/>
    </row>
    <row r="84" spans="1:21" x14ac:dyDescent="0.2">
      <c r="A84" s="1043"/>
      <c r="B84" s="1044"/>
      <c r="C84" s="1044"/>
      <c r="D84" s="1044"/>
      <c r="E84" s="1044"/>
      <c r="F84" s="1044"/>
      <c r="G84" s="1044"/>
      <c r="H84" s="1045"/>
      <c r="I84" s="10"/>
      <c r="J84" s="10"/>
      <c r="K84" s="10"/>
      <c r="L84" s="10"/>
      <c r="M84" s="10"/>
      <c r="N84" s="9"/>
      <c r="O84" s="9"/>
      <c r="P84" s="9"/>
      <c r="Q84" s="23"/>
    </row>
    <row r="85" spans="1:21" ht="28.5" customHeight="1" x14ac:dyDescent="0.2">
      <c r="A85" s="864"/>
      <c r="B85" s="864"/>
      <c r="C85" s="2"/>
      <c r="D85" s="901"/>
      <c r="E85" s="901"/>
      <c r="F85" s="2"/>
      <c r="I85" s="10"/>
      <c r="J85" s="10"/>
      <c r="K85" s="10"/>
      <c r="L85" s="10"/>
      <c r="M85" s="10"/>
      <c r="N85" s="9"/>
      <c r="O85" s="9"/>
      <c r="P85" s="9"/>
      <c r="Q85" s="23"/>
    </row>
    <row r="86" spans="1:21" s="1" customFormat="1" ht="36" customHeight="1" x14ac:dyDescent="0.2">
      <c r="A86" s="866"/>
      <c r="B86" s="866"/>
      <c r="C86" s="7"/>
      <c r="D86" s="6"/>
      <c r="F86" s="2"/>
      <c r="N86"/>
      <c r="O86"/>
      <c r="P86"/>
      <c r="Q86" s="22"/>
      <c r="R86" s="22"/>
      <c r="S86" s="22"/>
      <c r="T86"/>
      <c r="U86"/>
    </row>
    <row r="87" spans="1:21" s="1" customFormat="1" ht="72" customHeight="1" x14ac:dyDescent="0.2">
      <c r="A87" s="864"/>
      <c r="B87" s="864"/>
      <c r="C87" s="4"/>
      <c r="D87" s="6"/>
      <c r="F87" s="4"/>
      <c r="N87"/>
      <c r="O87"/>
      <c r="P87"/>
      <c r="Q87" s="22"/>
      <c r="R87" s="22"/>
      <c r="S87" s="22"/>
      <c r="T87"/>
      <c r="U87"/>
    </row>
    <row r="88" spans="1:21" s="1" customFormat="1" x14ac:dyDescent="0.2">
      <c r="A88" s="865"/>
      <c r="B88" s="865"/>
      <c r="C88" s="2"/>
      <c r="D88" s="8"/>
      <c r="F88" s="2"/>
      <c r="N88"/>
      <c r="O88"/>
      <c r="P88"/>
      <c r="Q88" s="22"/>
      <c r="R88" s="22"/>
      <c r="S88" s="22"/>
      <c r="T88"/>
      <c r="U88"/>
    </row>
    <row r="89" spans="1:21" s="1" customFormat="1" ht="46.5" customHeight="1" x14ac:dyDescent="0.2">
      <c r="A89"/>
      <c r="F89" s="2"/>
      <c r="N89"/>
      <c r="O89"/>
      <c r="P89"/>
      <c r="Q89" s="22"/>
      <c r="R89" s="22"/>
      <c r="S89" s="22"/>
      <c r="T89"/>
      <c r="U89"/>
    </row>
    <row r="90" spans="1:21" s="1" customFormat="1" ht="50.25" customHeight="1" x14ac:dyDescent="0.2">
      <c r="A90" s="864"/>
      <c r="B90" s="864"/>
      <c r="C90" s="4"/>
      <c r="D90" s="5"/>
      <c r="N90"/>
      <c r="O90"/>
      <c r="P90"/>
      <c r="Q90" s="22"/>
      <c r="R90" s="22"/>
      <c r="S90" s="22"/>
      <c r="T90"/>
      <c r="U90"/>
    </row>
    <row r="91" spans="1:21" s="1" customFormat="1" x14ac:dyDescent="0.2">
      <c r="A91" s="894"/>
      <c r="B91" s="894"/>
      <c r="N91"/>
      <c r="O91"/>
      <c r="P91"/>
      <c r="Q91" s="22"/>
      <c r="R91" s="22"/>
      <c r="S91" s="22"/>
      <c r="T91"/>
      <c r="U91"/>
    </row>
    <row r="92" spans="1:21" s="1" customFormat="1" x14ac:dyDescent="0.2">
      <c r="A92" s="584"/>
      <c r="B92" s="584"/>
      <c r="N92"/>
      <c r="O92"/>
      <c r="P92"/>
      <c r="Q92" s="22"/>
      <c r="R92" s="22"/>
      <c r="S92" s="22"/>
      <c r="T92"/>
      <c r="U92"/>
    </row>
    <row r="93" spans="1:21" s="1" customFormat="1" ht="28.5" customHeight="1" x14ac:dyDescent="0.2">
      <c r="A93" s="893"/>
      <c r="B93" s="893"/>
      <c r="C93" s="12"/>
      <c r="D93" s="13"/>
      <c r="F93" s="2"/>
      <c r="N93"/>
      <c r="O93"/>
      <c r="P93"/>
      <c r="Q93" s="22"/>
      <c r="R93" s="22"/>
      <c r="S93" s="22"/>
      <c r="T93"/>
      <c r="U93"/>
    </row>
    <row r="94" spans="1:21" s="1" customFormat="1" ht="29.25" customHeight="1" x14ac:dyDescent="0.2">
      <c r="A94" s="866"/>
      <c r="B94" s="867"/>
      <c r="C94" s="14"/>
      <c r="D94" s="15"/>
      <c r="F94" s="2"/>
      <c r="G94" s="2"/>
      <c r="H94" s="6"/>
      <c r="N94"/>
      <c r="O94"/>
      <c r="P94"/>
      <c r="Q94" s="22"/>
      <c r="R94" s="22"/>
      <c r="S94" s="22"/>
      <c r="T94"/>
      <c r="U94"/>
    </row>
    <row r="95" spans="1:21" s="1" customFormat="1" x14ac:dyDescent="0.2">
      <c r="A95" s="865"/>
      <c r="B95" s="892"/>
      <c r="C95" s="16"/>
      <c r="D95" s="17"/>
      <c r="F95" s="2"/>
      <c r="H95" s="6"/>
      <c r="N95"/>
      <c r="O95"/>
      <c r="P95"/>
      <c r="Q95" s="22"/>
      <c r="R95" s="22"/>
      <c r="S95" s="22"/>
      <c r="T95"/>
      <c r="U95"/>
    </row>
    <row r="96" spans="1:21" s="1" customFormat="1" ht="27.75" customHeight="1" x14ac:dyDescent="0.2">
      <c r="A96" s="866"/>
      <c r="B96" s="867"/>
      <c r="C96" s="14"/>
      <c r="D96" s="18"/>
      <c r="F96" s="4"/>
      <c r="H96" s="6"/>
      <c r="N96"/>
      <c r="O96"/>
      <c r="P96"/>
      <c r="Q96" s="22"/>
      <c r="R96" s="22"/>
      <c r="S96" s="22"/>
      <c r="T96"/>
      <c r="U96"/>
    </row>
    <row r="97" spans="1:21" s="1" customFormat="1" x14ac:dyDescent="0.2">
      <c r="A97" s="584"/>
      <c r="B97" s="584"/>
      <c r="C97" s="12"/>
      <c r="D97" s="12"/>
      <c r="N97"/>
      <c r="O97"/>
      <c r="P97"/>
      <c r="Q97" s="22"/>
      <c r="R97" s="22"/>
      <c r="S97" s="22"/>
      <c r="T97"/>
      <c r="U97"/>
    </row>
    <row r="98" spans="1:21" s="1" customFormat="1" x14ac:dyDescent="0.2">
      <c r="A98" s="584"/>
      <c r="B98" s="584"/>
      <c r="N98"/>
      <c r="O98"/>
      <c r="P98"/>
      <c r="Q98" s="22"/>
      <c r="R98" s="22"/>
      <c r="S98" s="22"/>
      <c r="T98"/>
      <c r="U98"/>
    </row>
  </sheetData>
  <dataConsolidate/>
  <mergeCells count="201">
    <mergeCell ref="K32:L32"/>
    <mergeCell ref="K33:L33"/>
    <mergeCell ref="G50:H50"/>
    <mergeCell ref="G41:H41"/>
    <mergeCell ref="G42:H42"/>
    <mergeCell ref="G43:H43"/>
    <mergeCell ref="G45:H45"/>
    <mergeCell ref="G46:H46"/>
    <mergeCell ref="G47:H47"/>
    <mergeCell ref="G48:H48"/>
    <mergeCell ref="G49:H49"/>
    <mergeCell ref="G36:H36"/>
    <mergeCell ref="G37:H37"/>
    <mergeCell ref="G38:H38"/>
    <mergeCell ref="G39:H39"/>
    <mergeCell ref="G44:H44"/>
    <mergeCell ref="A22:E22"/>
    <mergeCell ref="A32:B33"/>
    <mergeCell ref="E43:F43"/>
    <mergeCell ref="E49:F49"/>
    <mergeCell ref="E44:F44"/>
    <mergeCell ref="A44:B44"/>
    <mergeCell ref="A41:B41"/>
    <mergeCell ref="C38:D38"/>
    <mergeCell ref="C41:D41"/>
    <mergeCell ref="C39:D39"/>
    <mergeCell ref="A38:B38"/>
    <mergeCell ref="A40:B40"/>
    <mergeCell ref="C37:D37"/>
    <mergeCell ref="G15:H15"/>
    <mergeCell ref="E42:F42"/>
    <mergeCell ref="A37:B37"/>
    <mergeCell ref="C35:D35"/>
    <mergeCell ref="G34:H34"/>
    <mergeCell ref="E40:F40"/>
    <mergeCell ref="E41:F41"/>
    <mergeCell ref="E37:F37"/>
    <mergeCell ref="E15:F15"/>
    <mergeCell ref="A36:B36"/>
    <mergeCell ref="C32:H32"/>
    <mergeCell ref="G28:H28"/>
    <mergeCell ref="A42:B42"/>
    <mergeCell ref="G16:H16"/>
    <mergeCell ref="E39:F39"/>
    <mergeCell ref="G35:H35"/>
    <mergeCell ref="G40:H40"/>
    <mergeCell ref="E38:F38"/>
    <mergeCell ref="A24:E24"/>
    <mergeCell ref="A21:E21"/>
    <mergeCell ref="A34:B34"/>
    <mergeCell ref="A35:B35"/>
    <mergeCell ref="A28:E28"/>
    <mergeCell ref="A98:B98"/>
    <mergeCell ref="A88:B88"/>
    <mergeCell ref="A90:B90"/>
    <mergeCell ref="A91:B91"/>
    <mergeCell ref="A92:B92"/>
    <mergeCell ref="E60:F60"/>
    <mergeCell ref="E47:F47"/>
    <mergeCell ref="E46:F46"/>
    <mergeCell ref="E45:F45"/>
    <mergeCell ref="C50:D50"/>
    <mergeCell ref="E59:F59"/>
    <mergeCell ref="C55:D55"/>
    <mergeCell ref="A55:B55"/>
    <mergeCell ref="A60:D60"/>
    <mergeCell ref="A56:B56"/>
    <mergeCell ref="A71:F71"/>
    <mergeCell ref="E69:H69"/>
    <mergeCell ref="E62:H62"/>
    <mergeCell ref="G61:H61"/>
    <mergeCell ref="E67:F67"/>
    <mergeCell ref="A69:D69"/>
    <mergeCell ref="E50:F50"/>
    <mergeCell ref="C45:D45"/>
    <mergeCell ref="C46:D46"/>
    <mergeCell ref="A93:B93"/>
    <mergeCell ref="A94:B94"/>
    <mergeCell ref="A95:B95"/>
    <mergeCell ref="A96:B96"/>
    <mergeCell ref="A97:B97"/>
    <mergeCell ref="A87:B87"/>
    <mergeCell ref="A39:B39"/>
    <mergeCell ref="C44:D44"/>
    <mergeCell ref="C40:D40"/>
    <mergeCell ref="A43:B43"/>
    <mergeCell ref="C43:D43"/>
    <mergeCell ref="L60:N71"/>
    <mergeCell ref="G64:H64"/>
    <mergeCell ref="C56:D56"/>
    <mergeCell ref="G60:H60"/>
    <mergeCell ref="G59:H59"/>
    <mergeCell ref="G71:H71"/>
    <mergeCell ref="I71:K71"/>
    <mergeCell ref="E70:H70"/>
    <mergeCell ref="G56:H56"/>
    <mergeCell ref="A62:D63"/>
    <mergeCell ref="E63:H63"/>
    <mergeCell ref="A66:D66"/>
    <mergeCell ref="E64:F64"/>
    <mergeCell ref="E65:F65"/>
    <mergeCell ref="E66:H66"/>
    <mergeCell ref="A65:D65"/>
    <mergeCell ref="A64:D64"/>
    <mergeCell ref="E61:F61"/>
    <mergeCell ref="G55:H55"/>
    <mergeCell ref="G67:H67"/>
    <mergeCell ref="G51:H51"/>
    <mergeCell ref="G52:H52"/>
    <mergeCell ref="G53:H53"/>
    <mergeCell ref="A67:D67"/>
    <mergeCell ref="E56:F56"/>
    <mergeCell ref="A58:H58"/>
    <mergeCell ref="A57:H57"/>
    <mergeCell ref="G54:H54"/>
    <mergeCell ref="A73:H73"/>
    <mergeCell ref="A85:B85"/>
    <mergeCell ref="D85:E85"/>
    <mergeCell ref="A74:H84"/>
    <mergeCell ref="A86:B86"/>
    <mergeCell ref="A61:D61"/>
    <mergeCell ref="E68:F68"/>
    <mergeCell ref="G68:H68"/>
    <mergeCell ref="A70:D70"/>
    <mergeCell ref="A68:D68"/>
    <mergeCell ref="A18:H18"/>
    <mergeCell ref="G21:H21"/>
    <mergeCell ref="E16:F16"/>
    <mergeCell ref="A20:E20"/>
    <mergeCell ref="G19:H19"/>
    <mergeCell ref="G20:H20"/>
    <mergeCell ref="B17:D17"/>
    <mergeCell ref="A5:B5"/>
    <mergeCell ref="C5:H5"/>
    <mergeCell ref="A6:B6"/>
    <mergeCell ref="C6:H6"/>
    <mergeCell ref="A7:B7"/>
    <mergeCell ref="A9:H9"/>
    <mergeCell ref="G11:H11"/>
    <mergeCell ref="B13:C13"/>
    <mergeCell ref="B11:C11"/>
    <mergeCell ref="E11:F11"/>
    <mergeCell ref="E12:F12"/>
    <mergeCell ref="G13:H13"/>
    <mergeCell ref="B14:C14"/>
    <mergeCell ref="B12:C12"/>
    <mergeCell ref="E13:F13"/>
    <mergeCell ref="A19:E19"/>
    <mergeCell ref="G12:H12"/>
    <mergeCell ref="B16:C16"/>
    <mergeCell ref="G14:H14"/>
    <mergeCell ref="G17:H17"/>
    <mergeCell ref="E17:F17"/>
    <mergeCell ref="C7:H7"/>
    <mergeCell ref="A10:H10"/>
    <mergeCell ref="E14:F14"/>
    <mergeCell ref="A8:H8"/>
    <mergeCell ref="B15:C15"/>
    <mergeCell ref="G22:H22"/>
    <mergeCell ref="A27:E27"/>
    <mergeCell ref="G27:H27"/>
    <mergeCell ref="G25:H25"/>
    <mergeCell ref="G24:H24"/>
    <mergeCell ref="C36:D36"/>
    <mergeCell ref="E35:F35"/>
    <mergeCell ref="E36:F36"/>
    <mergeCell ref="A31:H31"/>
    <mergeCell ref="C33:H33"/>
    <mergeCell ref="G26:H26"/>
    <mergeCell ref="C34:D34"/>
    <mergeCell ref="E34:F34"/>
    <mergeCell ref="A23:E23"/>
    <mergeCell ref="G23:H23"/>
    <mergeCell ref="A30:H30"/>
    <mergeCell ref="G29:H29"/>
    <mergeCell ref="A29:E29"/>
    <mergeCell ref="A26:E26"/>
    <mergeCell ref="A45:B45"/>
    <mergeCell ref="A46:B46"/>
    <mergeCell ref="C42:D42"/>
    <mergeCell ref="A48:B48"/>
    <mergeCell ref="A50:B50"/>
    <mergeCell ref="A54:B54"/>
    <mergeCell ref="E52:F52"/>
    <mergeCell ref="E55:F55"/>
    <mergeCell ref="E54:F54"/>
    <mergeCell ref="E53:F53"/>
    <mergeCell ref="A52:B52"/>
    <mergeCell ref="C47:D47"/>
    <mergeCell ref="A51:B51"/>
    <mergeCell ref="A53:B53"/>
    <mergeCell ref="C54:D54"/>
    <mergeCell ref="A49:B49"/>
    <mergeCell ref="C48:D48"/>
    <mergeCell ref="C52:D52"/>
    <mergeCell ref="E51:F51"/>
    <mergeCell ref="C51:D51"/>
    <mergeCell ref="C49:D49"/>
    <mergeCell ref="E48:F48"/>
    <mergeCell ref="A47:B47"/>
    <mergeCell ref="C53:D53"/>
  </mergeCells>
  <phoneticPr fontId="47" type="noConversion"/>
  <conditionalFormatting sqref="E36:E56 G36:G56">
    <cfRule type="cellIs" dxfId="13" priority="15" stopIfTrue="1" operator="lessThan">
      <formula>0.0000001</formula>
    </cfRule>
  </conditionalFormatting>
  <conditionalFormatting sqref="E63:H63">
    <cfRule type="containsText" dxfId="12" priority="3" stopIfTrue="1" operator="containsText" text="ACHTUNG! Gewählte Stauhöhe zu gering!">
      <formula>NOT(ISERROR(SEARCH("ACHTUNG! Gewählte Stauhöhe zu gering!",E63)))</formula>
    </cfRule>
    <cfRule type="containsText" dxfId="11" priority="4" stopIfTrue="1" operator="containsText" text="Stauhöhe OK.">
      <formula>NOT(ISERROR(SEARCH("Stauhöhe OK.",E63)))</formula>
    </cfRule>
  </conditionalFormatting>
  <dataValidations xWindow="492" yWindow="363" count="14">
    <dataValidation allowBlank="1" showErrorMessage="1" promptTitle="Formel" prompt="Konsensmenge pro Tag [l/m²] * 3,6 * 24_x000a_" sqref="E70" xr:uid="{00000000-0002-0000-0700-000000000000}"/>
    <dataValidation allowBlank="1" showErrorMessage="1" promptTitle="Formel" prompt="As*kf*1000" sqref="E67:E69 J67:J69" xr:uid="{00000000-0002-0000-0700-000001000000}"/>
    <dataValidation allowBlank="1" showErrorMessage="1" promptTitle="Formel" prompt="Vs = (qs * Aent) / 1.000" sqref="E35" xr:uid="{00000000-0002-0000-0700-000002000000}"/>
    <dataValidation allowBlank="1" showErrorMessage="1" promptTitle="Formel" prompt="Vs = (qs * Aent) / 1.000_x000a_Speichervolumen = (Versickerungsrate * abflusswirksame Gesamtfläche) / 1.000" sqref="E34" xr:uid="{00000000-0002-0000-0700-000003000000}"/>
    <dataValidation allowBlank="1" showErrorMessage="1" prompt="aus ehyd-Datenbank" sqref="C34" xr:uid="{00000000-0002-0000-0700-000004000000}"/>
    <dataValidation allowBlank="1" showInputMessage="1" showErrorMessage="1" promptTitle="Formel" prompt="qv = kf * β * D * (As / Aent) * 60.000" sqref="S35" xr:uid="{00000000-0002-0000-0700-000005000000}"/>
    <dataValidation allowBlank="1" showErrorMessage="1" sqref="I31:I38 K35:K38 L31:N38 J31:K33 J34:J38" xr:uid="{00000000-0002-0000-0700-000006000000}"/>
    <dataValidation allowBlank="1" showInputMessage="1" showErrorMessage="1" promptTitle="An" prompt="Horizontalprojektion der jeweiligen Teilentwässerungsfläche in [m²]" sqref="E11" xr:uid="{00000000-0002-0000-0700-000007000000}"/>
    <dataValidation allowBlank="1" showErrorMessage="1" promptTitle="Formel" prompt="qv = kf * β * D * (As / Aent) * 60.000" sqref="R35" xr:uid="{00000000-0002-0000-0700-000008000000}"/>
    <dataValidation operator="equal" sqref="C33" xr:uid="{00000000-0002-0000-0700-000009000000}"/>
    <dataValidation allowBlank="1" showErrorMessage="1" promptTitle="Formel" prompt="Maximum von Vs" sqref="E60:F61" xr:uid="{00000000-0002-0000-0700-00000A000000}"/>
    <dataValidation type="decimal" operator="greaterThanOrEqual" allowBlank="1" showErrorMessage="1" error="Wert ist zu klein." sqref="E62" xr:uid="{00000000-0002-0000-0700-00000B000000}">
      <formula1>MAX(E61,G61)</formula1>
    </dataValidation>
    <dataValidation operator="greaterThanOrEqual" allowBlank="1" error="Wert ist zu klein." sqref="E63:H63" xr:uid="{00000000-0002-0000-0700-00000C000000}"/>
    <dataValidation allowBlank="1" showErrorMessage="1" promptTitle="Bodenart kf [m/s]" prompt="Kies 1*10-1 - 1*10-3_x000a_sandiger Kies 1*10-3 - 1*10-4_x000a_Mittelsand 1*10-3 bis 1*10-5_x000a_humoser Oberboden 1*10-3 - 1*10-6_x000a_schluffiger Sand 1*10-5 - 1*10-7_x000a_Schluff 1*10-6 - 1*10-9_x000a_toniger Schluff 1*10-7 - 1*10-11_x000a__x000a_" sqref="G19:H29" xr:uid="{00000000-0002-0000-0700-00000D000000}"/>
  </dataValidations>
  <pageMargins left="0.7" right="0.7" top="0.75" bottom="0.36458333333333331" header="0.3" footer="0.3"/>
  <pageSetup paperSize="9" orientation="portrait" horizontalDpi="4294967293" r:id="rId1"/>
  <headerFooter alignWithMargins="0">
    <oddHeader>&amp;C&amp;"Arial,Fett"&amp;16SICKERSCHACHT</oddHeader>
    <oddFooter>&amp;R&amp;8Seite &amp;P von 2</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3">
    <tabColor rgb="FF92D050"/>
  </sheetPr>
  <dimension ref="A1:W98"/>
  <sheetViews>
    <sheetView showGridLines="0" topLeftCell="A3" zoomScaleNormal="100" workbookViewId="0">
      <selection activeCell="A3" sqref="A3"/>
    </sheetView>
  </sheetViews>
  <sheetFormatPr baseColWidth="10" defaultRowHeight="12.75" x14ac:dyDescent="0.2"/>
  <cols>
    <col min="1" max="1" width="11.5703125" customWidth="1"/>
    <col min="2" max="2" width="10.42578125" style="1" customWidth="1"/>
    <col min="3" max="8" width="10.85546875" style="1" customWidth="1"/>
    <col min="9" max="9" width="12" style="1" bestFit="1" customWidth="1"/>
    <col min="10" max="10" width="39.85546875" style="1" customWidth="1"/>
    <col min="11" max="13" width="34.7109375" style="1" customWidth="1"/>
    <col min="14" max="14" width="10.7109375" customWidth="1"/>
    <col min="15" max="16" width="2.28515625" customWidth="1"/>
    <col min="17" max="17" width="28.42578125" style="22" customWidth="1"/>
    <col min="18" max="18" width="16.85546875" style="22" bestFit="1" customWidth="1"/>
    <col min="19" max="19" width="16.85546875" style="22" customWidth="1"/>
    <col min="20" max="21" width="16.28515625" customWidth="1"/>
  </cols>
  <sheetData>
    <row r="1" spans="1:19" ht="11.25" hidden="1" customHeight="1" x14ac:dyDescent="0.2">
      <c r="A1" s="66" t="s">
        <v>102</v>
      </c>
      <c r="B1" s="67"/>
      <c r="C1" s="67"/>
      <c r="D1" s="67"/>
      <c r="E1" s="67"/>
      <c r="F1" s="67"/>
      <c r="G1" s="67"/>
      <c r="H1" s="67"/>
      <c r="I1" s="67"/>
      <c r="J1" s="67"/>
      <c r="K1" s="67"/>
      <c r="L1" s="67"/>
      <c r="M1" s="67"/>
      <c r="N1" s="68"/>
    </row>
    <row r="2" spans="1:19" ht="7.5" hidden="1" customHeight="1" thickBot="1" x14ac:dyDescent="0.25">
      <c r="A2" s="91"/>
      <c r="B2" s="71"/>
      <c r="C2" s="71"/>
      <c r="D2" s="71"/>
      <c r="E2" s="71"/>
      <c r="F2" s="71"/>
      <c r="G2" s="71"/>
      <c r="H2" s="71"/>
      <c r="I2" s="71"/>
      <c r="J2" s="71"/>
      <c r="K2" s="71"/>
      <c r="L2" s="71"/>
      <c r="M2" s="71"/>
      <c r="N2" s="72"/>
    </row>
    <row r="3" spans="1:19" ht="0.75" customHeight="1" thickBot="1" x14ac:dyDescent="0.25">
      <c r="A3" s="96"/>
      <c r="B3" s="96"/>
      <c r="C3" s="96"/>
      <c r="D3" s="96"/>
      <c r="E3" s="96"/>
      <c r="F3" s="96"/>
      <c r="G3" s="96"/>
      <c r="H3" s="96"/>
      <c r="I3" s="85"/>
      <c r="J3" s="85"/>
      <c r="K3" s="85"/>
      <c r="L3" s="85"/>
      <c r="M3" s="85"/>
      <c r="N3" s="85"/>
      <c r="O3" s="22"/>
      <c r="P3" s="22"/>
    </row>
    <row r="4" spans="1:19" ht="9.75" customHeight="1" thickBot="1" x14ac:dyDescent="0.25">
      <c r="A4" s="85"/>
      <c r="B4" s="85"/>
      <c r="C4" s="85"/>
      <c r="D4" s="85"/>
      <c r="E4" s="85"/>
      <c r="F4" s="85"/>
      <c r="G4" s="85"/>
      <c r="H4" s="133" t="str">
        <f>Einführung!L4</f>
        <v>v01.15</v>
      </c>
      <c r="I4" s="85"/>
      <c r="J4" s="85"/>
      <c r="K4" s="85"/>
      <c r="L4" s="85"/>
      <c r="M4" s="85"/>
      <c r="N4" s="85"/>
      <c r="O4" s="22"/>
      <c r="P4" s="22"/>
    </row>
    <row r="5" spans="1:19" ht="13.5" customHeight="1" x14ac:dyDescent="0.2">
      <c r="A5" s="1014" t="s">
        <v>121</v>
      </c>
      <c r="B5" s="1015"/>
      <c r="C5" s="1016" t="str">
        <f>'Bemessungsregendaten, kfu'!E4</f>
        <v>Testprojekt</v>
      </c>
      <c r="D5" s="1016"/>
      <c r="E5" s="1016"/>
      <c r="F5" s="1016"/>
      <c r="G5" s="1016"/>
      <c r="H5" s="1017"/>
      <c r="I5" s="85"/>
      <c r="J5" s="85"/>
      <c r="K5" s="85"/>
      <c r="L5" s="85"/>
      <c r="M5" s="85"/>
      <c r="N5" s="85"/>
      <c r="O5" s="22"/>
      <c r="P5" s="22"/>
    </row>
    <row r="6" spans="1:19" ht="13.5" customHeight="1" x14ac:dyDescent="0.2">
      <c r="A6" s="1018" t="s">
        <v>119</v>
      </c>
      <c r="B6" s="1019"/>
      <c r="C6" s="1020" t="str">
        <f>'Bemessungsregendaten, kfu'!E5</f>
        <v>Max Mustermann</v>
      </c>
      <c r="D6" s="1020"/>
      <c r="E6" s="1020"/>
      <c r="F6" s="1020"/>
      <c r="G6" s="1020"/>
      <c r="H6" s="1021"/>
      <c r="K6" s="85"/>
      <c r="L6" s="85"/>
      <c r="M6" s="85"/>
      <c r="N6" s="85"/>
      <c r="O6" s="22"/>
      <c r="P6" s="22"/>
    </row>
    <row r="7" spans="1:19" ht="13.5" customHeight="1" thickBot="1" x14ac:dyDescent="0.25">
      <c r="A7" s="1022" t="s">
        <v>120</v>
      </c>
      <c r="B7" s="1023"/>
      <c r="C7" s="997" t="str">
        <f>'Bemessungsregendaten, kfu'!E6</f>
        <v>Testprojekt</v>
      </c>
      <c r="D7" s="997"/>
      <c r="E7" s="997"/>
      <c r="F7" s="997"/>
      <c r="G7" s="997"/>
      <c r="H7" s="998"/>
      <c r="K7" s="85"/>
      <c r="L7" s="85"/>
      <c r="M7" s="85"/>
      <c r="N7" s="85"/>
      <c r="O7" s="22"/>
      <c r="P7" s="22"/>
    </row>
    <row r="8" spans="1:19" ht="4.5" customHeight="1" thickBot="1" x14ac:dyDescent="0.25">
      <c r="A8" s="1003"/>
      <c r="B8" s="1003"/>
      <c r="C8" s="1003"/>
      <c r="D8" s="1003"/>
      <c r="E8" s="1003"/>
      <c r="F8" s="1003"/>
      <c r="G8" s="1003"/>
      <c r="H8" s="1003"/>
      <c r="I8" s="54"/>
      <c r="J8" s="54"/>
      <c r="K8" s="54"/>
      <c r="L8" s="54"/>
      <c r="M8" s="54"/>
      <c r="N8" s="54"/>
      <c r="O8" s="22"/>
      <c r="P8" s="22"/>
    </row>
    <row r="9" spans="1:19" ht="11.85" customHeight="1" thickBot="1" x14ac:dyDescent="0.25">
      <c r="A9" s="973" t="s">
        <v>106</v>
      </c>
      <c r="B9" s="974"/>
      <c r="C9" s="974"/>
      <c r="D9" s="974"/>
      <c r="E9" s="974"/>
      <c r="F9" s="974"/>
      <c r="G9" s="974"/>
      <c r="H9" s="975"/>
      <c r="I9" s="55"/>
      <c r="J9" s="55"/>
      <c r="K9" s="55"/>
      <c r="L9" s="55"/>
      <c r="M9" s="55"/>
      <c r="N9" s="55"/>
      <c r="O9" s="23"/>
    </row>
    <row r="10" spans="1:19" ht="13.5" thickBot="1" x14ac:dyDescent="0.25">
      <c r="A10" s="999" t="s">
        <v>141</v>
      </c>
      <c r="B10" s="1000"/>
      <c r="C10" s="1000"/>
      <c r="D10" s="1000"/>
      <c r="E10" s="1000"/>
      <c r="F10" s="1000"/>
      <c r="G10" s="1000"/>
      <c r="H10" s="1001"/>
      <c r="I10" s="54"/>
      <c r="J10" s="54"/>
      <c r="K10" s="54"/>
      <c r="L10" s="54"/>
      <c r="M10" s="54"/>
      <c r="N10" s="54"/>
    </row>
    <row r="11" spans="1:19" s="32" customFormat="1" ht="25.5" customHeight="1" thickBot="1" x14ac:dyDescent="0.25">
      <c r="A11" s="162" t="s">
        <v>260</v>
      </c>
      <c r="B11" s="1026" t="s">
        <v>23</v>
      </c>
      <c r="C11" s="1027"/>
      <c r="D11" s="360" t="s">
        <v>127</v>
      </c>
      <c r="E11" s="1028" t="s">
        <v>123</v>
      </c>
      <c r="F11" s="1122"/>
      <c r="G11" s="1123" t="s">
        <v>124</v>
      </c>
      <c r="H11" s="1025"/>
      <c r="I11" s="51"/>
      <c r="J11" s="56"/>
      <c r="K11" s="56"/>
      <c r="L11" s="56"/>
      <c r="M11" s="56"/>
      <c r="N11" s="56"/>
      <c r="Q11" s="249"/>
      <c r="R11" s="249"/>
      <c r="S11" s="249"/>
    </row>
    <row r="12" spans="1:19" s="32" customFormat="1" ht="10.5" customHeight="1" x14ac:dyDescent="0.2">
      <c r="A12" s="315" t="s">
        <v>57</v>
      </c>
      <c r="B12" s="1032" t="str">
        <f>IF('SIR-AQF'!B15="","",'SIR-AQF'!B15)</f>
        <v/>
      </c>
      <c r="C12" s="1030"/>
      <c r="D12" s="394">
        <f>IF('SIR-AQF'!G15="","",'SIR-AQF'!G15)</f>
        <v>1</v>
      </c>
      <c r="E12" s="1030">
        <f>IF('SIR-AQF'!E15="","",'SIR-AQF'!E15)</f>
        <v>2119</v>
      </c>
      <c r="F12" s="1031"/>
      <c r="G12" s="1035">
        <f>'SIR-AQF'!I15/'SIR-AQF'!$H$34</f>
        <v>1059.5</v>
      </c>
      <c r="H12" s="1036"/>
      <c r="I12" s="52"/>
      <c r="J12" s="56"/>
      <c r="K12" s="56"/>
      <c r="L12" s="56"/>
      <c r="M12" s="56"/>
      <c r="N12" s="56"/>
      <c r="Q12" s="249"/>
      <c r="R12" s="249"/>
      <c r="S12" s="249"/>
    </row>
    <row r="13" spans="1:19" s="32" customFormat="1" ht="10.5" customHeight="1" x14ac:dyDescent="0.2">
      <c r="A13" s="149" t="s">
        <v>58</v>
      </c>
      <c r="B13" s="986" t="str">
        <f>IF('SIR-AQF'!B16="","",'SIR-AQF'!B16)</f>
        <v/>
      </c>
      <c r="C13" s="987"/>
      <c r="D13" s="361" t="str">
        <f>IF('SIR-AQF'!G16="","",'SIR-AQF'!G16)</f>
        <v/>
      </c>
      <c r="E13" s="987" t="str">
        <f>IF('SIR-AQF'!E16="","",'SIR-AQF'!E16)</f>
        <v/>
      </c>
      <c r="F13" s="1002"/>
      <c r="G13" s="992">
        <f>'SIR-AQF'!I16/'SIR-AQF'!$H$34</f>
        <v>0</v>
      </c>
      <c r="H13" s="1002"/>
      <c r="I13" s="52"/>
      <c r="J13" s="56"/>
      <c r="K13" s="56"/>
      <c r="L13" s="56"/>
      <c r="M13" s="56"/>
      <c r="N13" s="56"/>
      <c r="Q13" s="249"/>
      <c r="R13" s="249"/>
      <c r="S13" s="249"/>
    </row>
    <row r="14" spans="1:19" s="32" customFormat="1" ht="10.5" customHeight="1" x14ac:dyDescent="0.2">
      <c r="A14" s="149" t="s">
        <v>59</v>
      </c>
      <c r="B14" s="986" t="str">
        <f>IF('SIR-AQF'!B17="","",'SIR-AQF'!B17)</f>
        <v/>
      </c>
      <c r="C14" s="987"/>
      <c r="D14" s="361" t="str">
        <f>IF('SIR-AQF'!G17="","",'SIR-AQF'!G17)</f>
        <v/>
      </c>
      <c r="E14" s="987" t="str">
        <f>IF('SIR-AQF'!E17="","",'SIR-AQF'!E17)</f>
        <v/>
      </c>
      <c r="F14" s="1002"/>
      <c r="G14" s="992">
        <f>'SIR-AQF'!I17/'SIR-AQF'!$H$34</f>
        <v>0</v>
      </c>
      <c r="H14" s="1002"/>
      <c r="I14" s="52"/>
      <c r="J14" s="56"/>
      <c r="K14" s="56"/>
      <c r="L14" s="56"/>
      <c r="M14" s="56"/>
      <c r="N14" s="56"/>
      <c r="Q14" s="249"/>
      <c r="R14" s="249"/>
      <c r="S14" s="249"/>
    </row>
    <row r="15" spans="1:19" s="32" customFormat="1" ht="10.5" customHeight="1" x14ac:dyDescent="0.2">
      <c r="A15" s="149" t="s">
        <v>60</v>
      </c>
      <c r="B15" s="1124" t="str">
        <f>IF('SIR-AQF'!B18="","",'SIR-AQF'!B18)</f>
        <v/>
      </c>
      <c r="C15" s="1125"/>
      <c r="D15" s="361" t="str">
        <f>IF('SIR-AQF'!G18="","",'SIR-AQF'!G18)</f>
        <v/>
      </c>
      <c r="E15" s="987" t="str">
        <f>IF('SIR-AQF'!E18="","",'SIR-AQF'!E18)</f>
        <v/>
      </c>
      <c r="F15" s="1002"/>
      <c r="G15" s="992">
        <f>'SIR-AQF'!I18/'SIR-AQF'!$H$34</f>
        <v>0</v>
      </c>
      <c r="H15" s="1002"/>
      <c r="I15" s="52"/>
      <c r="J15" s="56"/>
      <c r="K15" s="56"/>
      <c r="L15" s="56"/>
      <c r="M15" s="56"/>
      <c r="N15" s="56"/>
      <c r="Q15" s="249"/>
      <c r="R15" s="249"/>
      <c r="S15" s="249"/>
    </row>
    <row r="16" spans="1:19" s="32" customFormat="1" ht="10.5" customHeight="1" thickBot="1" x14ac:dyDescent="0.25">
      <c r="A16" s="359" t="s">
        <v>61</v>
      </c>
      <c r="B16" s="1126" t="str">
        <f>IF('SIR-AQF'!B19="","",'SIR-AQF'!B19)</f>
        <v/>
      </c>
      <c r="C16" s="1127"/>
      <c r="D16" s="362" t="str">
        <f>IF('SIR-AQF'!G19="","",'SIR-AQF'!G19)</f>
        <v/>
      </c>
      <c r="E16" s="991" t="str">
        <f>IF('SIR-AQF'!E19="","",'SIR-AQF'!E19)</f>
        <v/>
      </c>
      <c r="F16" s="1007"/>
      <c r="G16" s="1112">
        <f>'SIR-AQF'!I19/'SIR-AQF'!$H$34</f>
        <v>0</v>
      </c>
      <c r="H16" s="1007"/>
      <c r="I16" s="52"/>
      <c r="J16" s="56"/>
      <c r="K16" s="56"/>
      <c r="L16" s="56"/>
      <c r="M16" s="56"/>
      <c r="N16" s="56"/>
      <c r="Q16" s="249"/>
      <c r="R16" s="249"/>
      <c r="S16" s="249"/>
    </row>
    <row r="17" spans="1:23" ht="13.5" thickBot="1" x14ac:dyDescent="0.25">
      <c r="A17" s="150"/>
      <c r="B17" s="1128" t="s">
        <v>128</v>
      </c>
      <c r="C17" s="1129"/>
      <c r="D17" s="1130"/>
      <c r="E17" s="1131">
        <f>SUM(E12:F16)</f>
        <v>2119</v>
      </c>
      <c r="F17" s="1130"/>
      <c r="G17" s="1132">
        <f>SUM(G12:H16)</f>
        <v>1059.5</v>
      </c>
      <c r="H17" s="1133"/>
      <c r="I17" s="53"/>
      <c r="J17" s="54"/>
      <c r="K17" s="54"/>
      <c r="L17" s="12"/>
      <c r="M17" s="12"/>
      <c r="N17" s="23"/>
    </row>
    <row r="18" spans="1:23" ht="0.75" customHeight="1" thickBot="1" x14ac:dyDescent="0.25">
      <c r="A18" s="1134"/>
      <c r="B18" s="1135"/>
      <c r="C18" s="1135"/>
      <c r="D18" s="1135"/>
      <c r="E18" s="1135"/>
      <c r="F18" s="1135"/>
      <c r="G18" s="1135"/>
      <c r="H18" s="1136"/>
      <c r="I18" s="53"/>
      <c r="J18" s="54"/>
      <c r="K18" s="54"/>
      <c r="L18" s="12"/>
      <c r="M18" s="12"/>
      <c r="N18" s="23"/>
    </row>
    <row r="19" spans="1:23" ht="13.5" customHeight="1" x14ac:dyDescent="0.2">
      <c r="A19" s="1033" t="s">
        <v>108</v>
      </c>
      <c r="B19" s="1034"/>
      <c r="C19" s="1034"/>
      <c r="D19" s="1034"/>
      <c r="E19" s="1034"/>
      <c r="F19" s="473" t="s">
        <v>115</v>
      </c>
      <c r="G19" s="1010">
        <f>IF('SIR-AQF'!J48="","",'SIR-AQF'!J48)</f>
        <v>3.0000000000000001E-3</v>
      </c>
      <c r="H19" s="1137"/>
      <c r="I19" s="57"/>
      <c r="J19" s="57"/>
      <c r="K19" s="57"/>
      <c r="L19" s="57"/>
      <c r="M19" s="57"/>
      <c r="N19" s="57"/>
      <c r="O19" s="23"/>
    </row>
    <row r="20" spans="1:23" ht="11.85" customHeight="1" x14ac:dyDescent="0.2">
      <c r="A20" s="1008" t="s">
        <v>51</v>
      </c>
      <c r="B20" s="1009"/>
      <c r="C20" s="1009"/>
      <c r="D20" s="1009"/>
      <c r="E20" s="1009"/>
      <c r="F20" s="474" t="s">
        <v>66</v>
      </c>
      <c r="G20" s="962">
        <f>IF('SIR-AQF'!J49="","",'SIR-AQF'!J49)</f>
        <v>1</v>
      </c>
      <c r="H20" s="1138"/>
      <c r="I20" s="57"/>
      <c r="J20" s="57"/>
      <c r="K20" s="57"/>
      <c r="L20" s="57"/>
      <c r="M20" s="57"/>
      <c r="N20" s="57"/>
      <c r="O20" s="23"/>
      <c r="P20" s="22"/>
      <c r="R20" s="24"/>
      <c r="S20" s="24"/>
      <c r="T20" s="24"/>
      <c r="U20" s="24"/>
    </row>
    <row r="21" spans="1:23" ht="11.85" customHeight="1" x14ac:dyDescent="0.2">
      <c r="A21" s="964" t="s">
        <v>211</v>
      </c>
      <c r="B21" s="965"/>
      <c r="C21" s="965"/>
      <c r="D21" s="965"/>
      <c r="E21" s="965"/>
      <c r="F21" s="475"/>
      <c r="G21" s="962">
        <f>IF('SIR-AQF'!J50="","",'SIR-AQF'!J50)</f>
        <v>0.05</v>
      </c>
      <c r="H21" s="1138"/>
      <c r="I21" s="12"/>
      <c r="J21" s="12"/>
      <c r="K21" s="12"/>
      <c r="L21" s="12"/>
      <c r="M21" s="12"/>
      <c r="N21" s="23"/>
      <c r="O21" s="23"/>
      <c r="P21" s="22"/>
      <c r="R21" s="24"/>
      <c r="S21" s="24"/>
      <c r="T21" s="24"/>
      <c r="U21" s="24"/>
    </row>
    <row r="22" spans="1:23" ht="11.85" customHeight="1" x14ac:dyDescent="0.2">
      <c r="A22" s="1008" t="s">
        <v>228</v>
      </c>
      <c r="B22" s="1009"/>
      <c r="C22" s="1009"/>
      <c r="D22" s="1009"/>
      <c r="E22" s="1009"/>
      <c r="F22" s="476" t="s">
        <v>116</v>
      </c>
      <c r="G22" s="962">
        <f>IF('SIR-AQF'!J51="","",'SIR-AQF'!J51)</f>
        <v>3.0000000000000001E-3</v>
      </c>
      <c r="H22" s="1138"/>
      <c r="I22" s="57"/>
      <c r="J22" s="57"/>
      <c r="K22" s="57"/>
      <c r="L22" s="57"/>
      <c r="M22" s="57"/>
      <c r="N22" s="57"/>
      <c r="O22" s="23"/>
    </row>
    <row r="23" spans="1:23" ht="11.85" customHeight="1" x14ac:dyDescent="0.2">
      <c r="A23" s="964" t="s">
        <v>229</v>
      </c>
      <c r="B23" s="965"/>
      <c r="C23" s="965"/>
      <c r="D23" s="965"/>
      <c r="E23" s="966"/>
      <c r="F23" s="474"/>
      <c r="G23" s="962">
        <f>IF('SIR-AQF'!J52="","",'SIR-AQF'!J52)</f>
        <v>1</v>
      </c>
      <c r="H23" s="1138"/>
      <c r="I23" s="57"/>
      <c r="J23" s="57"/>
      <c r="K23" s="57"/>
      <c r="L23" s="57"/>
      <c r="M23" s="57"/>
      <c r="N23" s="57"/>
      <c r="O23" s="23"/>
      <c r="P23" s="22"/>
      <c r="R23" s="24"/>
      <c r="S23" s="24"/>
      <c r="T23" s="24"/>
      <c r="U23" s="24"/>
    </row>
    <row r="24" spans="1:23" ht="11.85" customHeight="1" x14ac:dyDescent="0.2">
      <c r="A24" s="964" t="s">
        <v>131</v>
      </c>
      <c r="B24" s="965"/>
      <c r="C24" s="965"/>
      <c r="D24" s="965"/>
      <c r="E24" s="966"/>
      <c r="F24" s="474" t="s">
        <v>132</v>
      </c>
      <c r="G24" s="962">
        <f>IF('SIR-AQF'!J53="","",'SIR-AQF'!J53)</f>
        <v>2.5</v>
      </c>
      <c r="H24" s="1138"/>
      <c r="I24" s="260">
        <f>G24^2*PI()/4</f>
        <v>4.908738521234052</v>
      </c>
      <c r="J24" s="261" t="s">
        <v>265</v>
      </c>
      <c r="K24" s="12"/>
      <c r="L24" s="12"/>
      <c r="M24" s="12"/>
      <c r="N24" s="23"/>
      <c r="O24" s="23"/>
      <c r="P24" s="22"/>
      <c r="R24" s="24"/>
      <c r="S24" s="24"/>
      <c r="T24" s="24"/>
      <c r="U24" s="24"/>
    </row>
    <row r="25" spans="1:23" ht="11.85" customHeight="1" x14ac:dyDescent="0.2">
      <c r="A25" s="158" t="s">
        <v>109</v>
      </c>
      <c r="B25" s="159"/>
      <c r="C25" s="159"/>
      <c r="D25" s="159"/>
      <c r="E25" s="160"/>
      <c r="F25" s="475" t="s">
        <v>212</v>
      </c>
      <c r="G25" s="962">
        <f>IF('SIR-AQF'!J54="","",'SIR-AQF'!J54)</f>
        <v>0.1</v>
      </c>
      <c r="H25" s="1138"/>
      <c r="I25" s="316">
        <f>(G24+2*G25)^2*PI()/4</f>
        <v>5.7255526111673989</v>
      </c>
      <c r="J25" s="261" t="s">
        <v>266</v>
      </c>
      <c r="K25" s="12"/>
      <c r="L25" s="12"/>
      <c r="M25" s="12"/>
      <c r="N25" s="23"/>
      <c r="O25" s="23"/>
      <c r="P25" s="22"/>
      <c r="R25" s="24"/>
      <c r="S25" s="24"/>
      <c r="T25" s="24"/>
      <c r="U25" s="24"/>
    </row>
    <row r="26" spans="1:23" ht="11.85" customHeight="1" x14ac:dyDescent="0.2">
      <c r="A26" s="964" t="s">
        <v>155</v>
      </c>
      <c r="B26" s="965"/>
      <c r="C26" s="965"/>
      <c r="D26" s="965"/>
      <c r="E26" s="966"/>
      <c r="F26" s="475"/>
      <c r="G26" s="962">
        <f>IF('SIR-AQF'!J55="","",'SIR-AQF'!J55)</f>
        <v>0</v>
      </c>
      <c r="H26" s="1138"/>
      <c r="I26" s="12"/>
      <c r="J26" s="12"/>
      <c r="K26" s="12"/>
      <c r="L26" s="12"/>
      <c r="M26" s="12"/>
      <c r="N26" s="23"/>
      <c r="O26" s="23"/>
      <c r="P26" s="22"/>
      <c r="R26" s="24"/>
      <c r="S26" s="24"/>
      <c r="T26" s="24"/>
      <c r="U26" s="24"/>
    </row>
    <row r="27" spans="1:23" ht="11.85" customHeight="1" x14ac:dyDescent="0.2">
      <c r="A27" s="964" t="s">
        <v>214</v>
      </c>
      <c r="B27" s="965"/>
      <c r="C27" s="965"/>
      <c r="D27" s="965"/>
      <c r="E27" s="966"/>
      <c r="F27" s="475"/>
      <c r="G27" s="962">
        <f>IF('SIR-AQF'!J56="","",'SIR-AQF'!J56)</f>
        <v>25</v>
      </c>
      <c r="H27" s="1138"/>
      <c r="I27" s="12"/>
      <c r="J27" s="12"/>
      <c r="K27" s="12"/>
      <c r="L27" s="12"/>
      <c r="M27" s="12"/>
      <c r="N27" s="23"/>
      <c r="O27" s="23"/>
      <c r="P27" s="22"/>
      <c r="R27" s="24"/>
      <c r="S27" s="24"/>
      <c r="T27" s="24"/>
      <c r="U27" s="24"/>
    </row>
    <row r="28" spans="1:23" ht="11.85" customHeight="1" x14ac:dyDescent="0.2">
      <c r="A28" s="964" t="s">
        <v>147</v>
      </c>
      <c r="B28" s="965"/>
      <c r="C28" s="965"/>
      <c r="D28" s="965"/>
      <c r="E28" s="966"/>
      <c r="F28" s="475" t="s">
        <v>148</v>
      </c>
      <c r="G28" s="962">
        <f>IF('SIR-AQF'!J57="","",'SIR-AQF'!J57)</f>
        <v>0.9</v>
      </c>
      <c r="H28" s="1138"/>
      <c r="I28" s="69"/>
      <c r="J28" s="69"/>
      <c r="K28" s="69"/>
      <c r="L28" s="69"/>
      <c r="M28" s="69"/>
      <c r="N28" s="69"/>
      <c r="O28" s="23"/>
      <c r="P28" s="22"/>
      <c r="R28" s="24"/>
      <c r="S28" s="24"/>
      <c r="T28" s="24"/>
      <c r="U28" s="24"/>
    </row>
    <row r="29" spans="1:23" ht="12.75" customHeight="1" thickBot="1" x14ac:dyDescent="0.3">
      <c r="A29" s="988" t="s">
        <v>285</v>
      </c>
      <c r="B29" s="989"/>
      <c r="C29" s="989"/>
      <c r="D29" s="989"/>
      <c r="E29" s="989"/>
      <c r="F29" s="477" t="s">
        <v>286</v>
      </c>
      <c r="G29" s="1139">
        <f>IF('SIR-AQF'!J58="","",'SIR-AQF'!J58)</f>
        <v>9.8174771874999998</v>
      </c>
      <c r="H29" s="1140"/>
      <c r="I29" s="70"/>
      <c r="J29" s="70"/>
      <c r="K29" s="70"/>
      <c r="L29" s="70"/>
      <c r="M29" s="70"/>
      <c r="N29" s="70"/>
      <c r="O29" s="23"/>
      <c r="P29" s="22"/>
      <c r="R29" s="24"/>
      <c r="S29" s="24"/>
      <c r="T29" s="24"/>
      <c r="U29" s="24"/>
    </row>
    <row r="30" spans="1:23" ht="3.75" customHeight="1" thickBot="1" x14ac:dyDescent="0.25">
      <c r="A30" s="934"/>
      <c r="B30" s="935"/>
      <c r="C30" s="935"/>
      <c r="D30" s="935"/>
      <c r="E30" s="935"/>
      <c r="F30" s="935"/>
      <c r="G30" s="936"/>
      <c r="H30" s="937"/>
      <c r="I30" s="60"/>
      <c r="J30" s="60"/>
      <c r="K30" s="60"/>
      <c r="L30" s="60"/>
      <c r="M30" s="60"/>
      <c r="N30" s="60"/>
      <c r="O30" s="23"/>
    </row>
    <row r="31" spans="1:23" ht="21.75" customHeight="1" thickBot="1" x14ac:dyDescent="0.25">
      <c r="A31" s="973" t="s">
        <v>68</v>
      </c>
      <c r="B31" s="974"/>
      <c r="C31" s="974"/>
      <c r="D31" s="974"/>
      <c r="E31" s="974"/>
      <c r="F31" s="974"/>
      <c r="G31" s="974"/>
      <c r="H31" s="975"/>
      <c r="I31" s="55"/>
      <c r="J31" s="55"/>
      <c r="K31" s="55"/>
      <c r="L31" s="55"/>
      <c r="M31" s="55"/>
      <c r="N31" s="55"/>
      <c r="O31" s="23"/>
    </row>
    <row r="32" spans="1:23" s="32" customFormat="1" ht="9.9499999999999993" customHeight="1" x14ac:dyDescent="0.2">
      <c r="A32" s="1118" t="s">
        <v>52</v>
      </c>
      <c r="B32" s="1119"/>
      <c r="C32" s="1109" t="s">
        <v>52</v>
      </c>
      <c r="D32" s="1110"/>
      <c r="E32" s="1110"/>
      <c r="F32" s="1110"/>
      <c r="G32" s="1110"/>
      <c r="H32" s="1111"/>
      <c r="I32" s="44"/>
      <c r="J32" s="44"/>
      <c r="K32" s="912"/>
      <c r="L32" s="912"/>
      <c r="M32" s="44"/>
      <c r="N32" s="44"/>
      <c r="Q32" s="249"/>
      <c r="R32" s="249"/>
      <c r="S32" s="249"/>
      <c r="T32" s="34"/>
      <c r="U32" s="34"/>
      <c r="V32" s="34"/>
      <c r="W32" s="34"/>
    </row>
    <row r="33" spans="1:21" s="32" customFormat="1" ht="12" customHeight="1" x14ac:dyDescent="0.2">
      <c r="A33" s="1120"/>
      <c r="B33" s="1121"/>
      <c r="C33" s="976">
        <f>'SIR-AQF'!J29</f>
        <v>5</v>
      </c>
      <c r="D33" s="977"/>
      <c r="E33" s="977"/>
      <c r="F33" s="977"/>
      <c r="G33" s="977"/>
      <c r="H33" s="978"/>
      <c r="I33" s="45"/>
      <c r="J33" s="46"/>
      <c r="K33" s="913"/>
      <c r="L33" s="913"/>
      <c r="M33" s="45"/>
      <c r="N33" s="45"/>
      <c r="O33" s="41"/>
      <c r="Q33" s="250"/>
      <c r="R33" s="251" t="s">
        <v>152</v>
      </c>
      <c r="S33" s="251" t="s">
        <v>153</v>
      </c>
      <c r="T33" s="246" t="s">
        <v>151</v>
      </c>
      <c r="U33" s="246"/>
    </row>
    <row r="34" spans="1:21" s="39" customFormat="1" ht="22.5" customHeight="1" x14ac:dyDescent="0.2">
      <c r="A34" s="1114" t="s">
        <v>1</v>
      </c>
      <c r="B34" s="1115"/>
      <c r="C34" s="979" t="s">
        <v>114</v>
      </c>
      <c r="D34" s="980"/>
      <c r="E34" s="980" t="s">
        <v>252</v>
      </c>
      <c r="F34" s="980"/>
      <c r="G34" s="980" t="s">
        <v>264</v>
      </c>
      <c r="H34" s="1108"/>
      <c r="I34" s="55"/>
      <c r="J34" s="55"/>
      <c r="K34" s="55"/>
      <c r="L34" s="55"/>
      <c r="M34" s="55"/>
      <c r="N34" s="55"/>
      <c r="O34" s="38"/>
      <c r="P34" s="38"/>
      <c r="Q34" s="252" t="s">
        <v>2</v>
      </c>
      <c r="R34" s="253" t="s">
        <v>171</v>
      </c>
      <c r="S34" s="253" t="s">
        <v>172</v>
      </c>
      <c r="T34" s="247" t="s">
        <v>173</v>
      </c>
      <c r="U34" s="247" t="s">
        <v>174</v>
      </c>
    </row>
    <row r="35" spans="1:21" s="32" customFormat="1" ht="9.9499999999999993" customHeight="1" x14ac:dyDescent="0.2">
      <c r="A35" s="1116" t="s">
        <v>72</v>
      </c>
      <c r="B35" s="1117"/>
      <c r="C35" s="1107">
        <v>0</v>
      </c>
      <c r="D35" s="972"/>
      <c r="E35" s="971">
        <v>0</v>
      </c>
      <c r="F35" s="972"/>
      <c r="G35" s="971">
        <v>0</v>
      </c>
      <c r="H35" s="1113"/>
      <c r="I35" s="55"/>
      <c r="J35" s="55"/>
      <c r="K35" s="55"/>
      <c r="L35" s="55"/>
      <c r="M35" s="55"/>
      <c r="N35" s="55"/>
      <c r="O35" s="36"/>
      <c r="P35" s="36"/>
      <c r="Q35" s="254">
        <v>0</v>
      </c>
      <c r="R35" s="255">
        <v>0</v>
      </c>
      <c r="S35" s="255">
        <v>0</v>
      </c>
      <c r="T35" s="248">
        <v>0</v>
      </c>
      <c r="U35" s="248">
        <v>0</v>
      </c>
    </row>
    <row r="36" spans="1:21" s="32" customFormat="1" ht="9.9499999999999993" customHeight="1" x14ac:dyDescent="0.2">
      <c r="A36" s="956" t="s">
        <v>3</v>
      </c>
      <c r="B36" s="957"/>
      <c r="C36" s="958">
        <f>HLOOKUP($C$33,'Bemessungsregendaten, kfu'!$D$20:$N$41,2,0)</f>
        <v>11.9</v>
      </c>
      <c r="D36" s="959"/>
      <c r="E36" s="960">
        <f>IF((T36/1000)*$G$17&gt;0, (T36/1000)*$G$17, 0)</f>
        <v>10.399117665444678</v>
      </c>
      <c r="F36" s="961"/>
      <c r="G36" s="960">
        <f t="shared" ref="G36:G56" si="0">(U36/1000)*$G$17</f>
        <v>8.1901852656250007</v>
      </c>
      <c r="H36" s="961"/>
      <c r="I36" s="55"/>
      <c r="J36" s="55"/>
      <c r="K36" s="55"/>
      <c r="L36" s="55"/>
      <c r="M36" s="55"/>
      <c r="N36" s="55"/>
      <c r="Q36" s="256">
        <v>5</v>
      </c>
      <c r="R36" s="255">
        <f>Q36*($G$19/2)*$G$20*((($G$24^2*PI())/4)/$G$17)*60000</f>
        <v>2.0848818636671287</v>
      </c>
      <c r="S36" s="255">
        <f t="shared" ref="S36:S56" si="1">Q36*($G$22*$G$23)/2*($G$29/$G$17)*60000</f>
        <v>4.1697637889334587</v>
      </c>
      <c r="T36" s="248">
        <f>IF((C36-R36)&gt;0, C36-R36, 0)</f>
        <v>9.8151181363328721</v>
      </c>
      <c r="U36" s="248">
        <f>IF((C36-S36)&gt;0, C36-S36, 0)</f>
        <v>7.7302362110665417</v>
      </c>
    </row>
    <row r="37" spans="1:21" s="32" customFormat="1" ht="9.9499999999999993" customHeight="1" x14ac:dyDescent="0.2">
      <c r="A37" s="956" t="s">
        <v>176</v>
      </c>
      <c r="B37" s="957"/>
      <c r="C37" s="958">
        <f>HLOOKUP($C$33,'Bemessungsregendaten, kfu'!$D$20:$N$41,3,0)</f>
        <v>15</v>
      </c>
      <c r="D37" s="959"/>
      <c r="E37" s="960">
        <f t="shared" ref="E37:E56" si="2">(T37/1000)*$G$17</f>
        <v>11.474635330889356</v>
      </c>
      <c r="F37" s="961"/>
      <c r="G37" s="960">
        <f t="shared" si="0"/>
        <v>7.0567705312500006</v>
      </c>
      <c r="H37" s="961"/>
      <c r="I37" s="55"/>
      <c r="J37" s="55"/>
      <c r="K37" s="55"/>
      <c r="L37" s="55"/>
      <c r="M37" s="55"/>
      <c r="N37" s="55"/>
      <c r="Q37" s="256">
        <v>10</v>
      </c>
      <c r="R37" s="255">
        <f t="shared" ref="R37:R55" si="3">Q37*($G$19/2)*$G$20*((($G$24^2*PI())/4)/$G$17)*60000</f>
        <v>4.1697637273342574</v>
      </c>
      <c r="S37" s="255">
        <f t="shared" si="1"/>
        <v>8.3395275778669173</v>
      </c>
      <c r="T37" s="248">
        <f t="shared" ref="T37:T56" si="4">IF((C37-R37)&gt;0, C37-R37, 0)</f>
        <v>10.830236272665744</v>
      </c>
      <c r="U37" s="248">
        <f t="shared" ref="U37:U56" si="5">IF((C37-S37)&gt;0, C37-S37, 0)</f>
        <v>6.6604724221330827</v>
      </c>
    </row>
    <row r="38" spans="1:21" s="32" customFormat="1" ht="9.9499999999999993" customHeight="1" x14ac:dyDescent="0.2">
      <c r="A38" s="956" t="s">
        <v>4</v>
      </c>
      <c r="B38" s="957"/>
      <c r="C38" s="958">
        <f>HLOOKUP($C$33,'Bemessungsregendaten, kfu'!$D$20:$N$41,4,0)</f>
        <v>17.2</v>
      </c>
      <c r="D38" s="959"/>
      <c r="E38" s="960">
        <f>(T38/1000)*$G$17</f>
        <v>11.596602996334031</v>
      </c>
      <c r="F38" s="961"/>
      <c r="G38" s="960">
        <f t="shared" si="0"/>
        <v>4.9698057968750007</v>
      </c>
      <c r="H38" s="961"/>
      <c r="I38" s="55"/>
      <c r="J38" s="55"/>
      <c r="K38" s="55"/>
      <c r="L38" s="55"/>
      <c r="M38" s="55"/>
      <c r="N38" s="55"/>
      <c r="Q38" s="256">
        <v>15</v>
      </c>
      <c r="R38" s="255">
        <f t="shared" si="3"/>
        <v>6.2546455910013865</v>
      </c>
      <c r="S38" s="255">
        <f t="shared" si="1"/>
        <v>12.509291366800376</v>
      </c>
      <c r="T38" s="248">
        <f t="shared" si="4"/>
        <v>10.945354408998613</v>
      </c>
      <c r="U38" s="248">
        <f t="shared" si="5"/>
        <v>4.6907086331996233</v>
      </c>
    </row>
    <row r="39" spans="1:21" s="32" customFormat="1" ht="9.9499999999999993" customHeight="1" x14ac:dyDescent="0.2">
      <c r="A39" s="956" t="s">
        <v>5</v>
      </c>
      <c r="B39" s="957"/>
      <c r="C39" s="958">
        <f>HLOOKUP($C$33,'Bemessungsregendaten, kfu'!$D$20:$N$41,5,0)</f>
        <v>18.899999999999999</v>
      </c>
      <c r="D39" s="959"/>
      <c r="E39" s="960">
        <f t="shared" si="2"/>
        <v>11.188820661778708</v>
      </c>
      <c r="F39" s="961"/>
      <c r="G39" s="960">
        <f t="shared" si="0"/>
        <v>2.3530910625000003</v>
      </c>
      <c r="H39" s="961"/>
      <c r="I39" s="55"/>
      <c r="J39" s="55"/>
      <c r="K39" s="55"/>
      <c r="L39" s="55"/>
      <c r="M39" s="55"/>
      <c r="N39" s="55"/>
      <c r="Q39" s="256">
        <v>20</v>
      </c>
      <c r="R39" s="255">
        <f t="shared" si="3"/>
        <v>8.3395274546685147</v>
      </c>
      <c r="S39" s="255">
        <f t="shared" si="1"/>
        <v>16.679055155733835</v>
      </c>
      <c r="T39" s="248">
        <f t="shared" si="4"/>
        <v>10.560472545331484</v>
      </c>
      <c r="U39" s="248">
        <f t="shared" si="5"/>
        <v>2.2209448442661639</v>
      </c>
    </row>
    <row r="40" spans="1:21" s="32" customFormat="1" ht="9.9499999999999993" customHeight="1" x14ac:dyDescent="0.2">
      <c r="A40" s="956" t="s">
        <v>7</v>
      </c>
      <c r="B40" s="957"/>
      <c r="C40" s="958">
        <f>HLOOKUP($C$33,'Bemessungsregendaten, kfu'!$D$20:$N$41,6,0)</f>
        <v>21.6</v>
      </c>
      <c r="D40" s="959"/>
      <c r="E40" s="960">
        <f t="shared" si="2"/>
        <v>9.6316059926680637</v>
      </c>
      <c r="F40" s="961"/>
      <c r="G40" s="960">
        <f t="shared" si="0"/>
        <v>0</v>
      </c>
      <c r="H40" s="961"/>
      <c r="I40" s="55"/>
      <c r="J40" s="55"/>
      <c r="K40" s="55"/>
      <c r="L40" s="55"/>
      <c r="M40" s="55"/>
      <c r="N40" s="55"/>
      <c r="Q40" s="256">
        <v>30</v>
      </c>
      <c r="R40" s="255">
        <f t="shared" si="3"/>
        <v>12.509291182002773</v>
      </c>
      <c r="S40" s="255">
        <f t="shared" si="1"/>
        <v>25.018582733600752</v>
      </c>
      <c r="T40" s="248">
        <f t="shared" si="4"/>
        <v>9.0907088179972284</v>
      </c>
      <c r="U40" s="248">
        <f t="shared" si="5"/>
        <v>0</v>
      </c>
    </row>
    <row r="41" spans="1:21" s="32" customFormat="1" ht="9.9499999999999993" customHeight="1" x14ac:dyDescent="0.2">
      <c r="A41" s="956" t="s">
        <v>6</v>
      </c>
      <c r="B41" s="957"/>
      <c r="C41" s="958">
        <f>HLOOKUP($C$33,'Bemessungsregendaten, kfu'!$D$20:$N$41,7,0)</f>
        <v>24.5</v>
      </c>
      <c r="D41" s="959"/>
      <c r="E41" s="960">
        <f t="shared" si="2"/>
        <v>6.0773589890020911</v>
      </c>
      <c r="F41" s="961"/>
      <c r="G41" s="960">
        <f t="shared" si="0"/>
        <v>0</v>
      </c>
      <c r="H41" s="961"/>
      <c r="I41" s="55"/>
      <c r="J41" s="55"/>
      <c r="K41" s="55"/>
      <c r="L41" s="55"/>
      <c r="M41" s="55"/>
      <c r="N41" s="55"/>
      <c r="Q41" s="256">
        <v>45</v>
      </c>
      <c r="R41" s="255">
        <f t="shared" si="3"/>
        <v>18.763936773004161</v>
      </c>
      <c r="S41" s="255">
        <f t="shared" si="1"/>
        <v>37.527874100401135</v>
      </c>
      <c r="T41" s="248">
        <f t="shared" si="4"/>
        <v>5.7360632269958387</v>
      </c>
      <c r="U41" s="248">
        <f t="shared" si="5"/>
        <v>0</v>
      </c>
    </row>
    <row r="42" spans="1:21" s="32" customFormat="1" ht="9.9499999999999993" customHeight="1" x14ac:dyDescent="0.2">
      <c r="A42" s="956" t="s">
        <v>8</v>
      </c>
      <c r="B42" s="957"/>
      <c r="C42" s="958">
        <f>HLOOKUP($C$33,'Bemessungsregendaten, kfu'!$D$20:$N$41,8,0)</f>
        <v>26.5</v>
      </c>
      <c r="D42" s="959"/>
      <c r="E42" s="960">
        <f t="shared" si="2"/>
        <v>1.569561985336124</v>
      </c>
      <c r="F42" s="961"/>
      <c r="G42" s="960">
        <f t="shared" si="0"/>
        <v>0</v>
      </c>
      <c r="H42" s="961"/>
      <c r="I42" s="55"/>
      <c r="J42" s="55"/>
      <c r="K42" s="55"/>
      <c r="L42" s="55"/>
      <c r="M42" s="55"/>
      <c r="N42" s="55"/>
      <c r="Q42" s="256">
        <v>60</v>
      </c>
      <c r="R42" s="255">
        <f t="shared" si="3"/>
        <v>25.018582364005546</v>
      </c>
      <c r="S42" s="255">
        <f t="shared" si="1"/>
        <v>50.037165467201504</v>
      </c>
      <c r="T42" s="248">
        <f t="shared" si="4"/>
        <v>1.481417635994454</v>
      </c>
      <c r="U42" s="248">
        <f t="shared" si="5"/>
        <v>0</v>
      </c>
    </row>
    <row r="43" spans="1:21" s="32" customFormat="1" ht="9.9499999999999993" customHeight="1" x14ac:dyDescent="0.2">
      <c r="A43" s="956" t="s">
        <v>9</v>
      </c>
      <c r="B43" s="957"/>
      <c r="C43" s="958">
        <f>HLOOKUP($C$33,'Bemessungsregendaten, kfu'!$D$20:$N$41,9,0)</f>
        <v>29.5</v>
      </c>
      <c r="D43" s="959"/>
      <c r="E43" s="960">
        <f t="shared" si="2"/>
        <v>0</v>
      </c>
      <c r="F43" s="961"/>
      <c r="G43" s="960">
        <f t="shared" si="0"/>
        <v>0</v>
      </c>
      <c r="H43" s="961"/>
      <c r="I43" s="55"/>
      <c r="J43" s="55"/>
      <c r="K43" s="55"/>
      <c r="L43" s="55"/>
      <c r="M43" s="55"/>
      <c r="N43" s="55"/>
      <c r="Q43" s="256">
        <v>90</v>
      </c>
      <c r="R43" s="255">
        <f t="shared" si="3"/>
        <v>37.527873546008323</v>
      </c>
      <c r="S43" s="255">
        <f t="shared" si="1"/>
        <v>75.05574820080227</v>
      </c>
      <c r="T43" s="248">
        <f t="shared" si="4"/>
        <v>0</v>
      </c>
      <c r="U43" s="248">
        <f t="shared" si="5"/>
        <v>0</v>
      </c>
    </row>
    <row r="44" spans="1:21" s="32" customFormat="1" ht="9.9499999999999993" customHeight="1" x14ac:dyDescent="0.2">
      <c r="A44" s="956" t="s">
        <v>10</v>
      </c>
      <c r="B44" s="957"/>
      <c r="C44" s="958">
        <f>HLOOKUP($C$33,'Bemessungsregendaten, kfu'!$D$20:$N$41,10,0)</f>
        <v>32</v>
      </c>
      <c r="D44" s="959"/>
      <c r="E44" s="960">
        <f t="shared" si="2"/>
        <v>0</v>
      </c>
      <c r="F44" s="961"/>
      <c r="G44" s="960">
        <f t="shared" si="0"/>
        <v>0</v>
      </c>
      <c r="H44" s="961"/>
      <c r="I44" s="55"/>
      <c r="J44" s="55"/>
      <c r="K44" s="55"/>
      <c r="L44" s="55"/>
      <c r="M44" s="55"/>
      <c r="N44" s="55"/>
      <c r="Q44" s="256">
        <v>120</v>
      </c>
      <c r="R44" s="255">
        <f t="shared" si="3"/>
        <v>50.037164728011092</v>
      </c>
      <c r="S44" s="255">
        <f t="shared" si="1"/>
        <v>100.07433093440301</v>
      </c>
      <c r="T44" s="248">
        <f t="shared" si="4"/>
        <v>0</v>
      </c>
      <c r="U44" s="248">
        <f t="shared" si="5"/>
        <v>0</v>
      </c>
    </row>
    <row r="45" spans="1:21" s="32" customFormat="1" ht="9.9499999999999993" customHeight="1" x14ac:dyDescent="0.2">
      <c r="A45" s="956" t="s">
        <v>11</v>
      </c>
      <c r="B45" s="957"/>
      <c r="C45" s="958">
        <f>HLOOKUP($C$33,'Bemessungsregendaten, kfu'!$D$20:$N$41,11,0)</f>
        <v>36.1</v>
      </c>
      <c r="D45" s="959"/>
      <c r="E45" s="960">
        <f t="shared" si="2"/>
        <v>0</v>
      </c>
      <c r="F45" s="961"/>
      <c r="G45" s="960">
        <f t="shared" si="0"/>
        <v>0</v>
      </c>
      <c r="H45" s="961"/>
      <c r="I45" s="55"/>
      <c r="J45" s="55"/>
      <c r="K45" s="55"/>
      <c r="L45" s="55"/>
      <c r="M45" s="55"/>
      <c r="N45" s="55"/>
      <c r="Q45" s="256">
        <v>180</v>
      </c>
      <c r="R45" s="255">
        <f t="shared" si="3"/>
        <v>75.055747092016645</v>
      </c>
      <c r="S45" s="255">
        <f t="shared" si="1"/>
        <v>150.11149640160454</v>
      </c>
      <c r="T45" s="248">
        <f t="shared" si="4"/>
        <v>0</v>
      </c>
      <c r="U45" s="248">
        <f t="shared" si="5"/>
        <v>0</v>
      </c>
    </row>
    <row r="46" spans="1:21" s="32" customFormat="1" ht="9.9499999999999993" customHeight="1" x14ac:dyDescent="0.2">
      <c r="A46" s="956" t="s">
        <v>12</v>
      </c>
      <c r="B46" s="957"/>
      <c r="C46" s="958">
        <f>HLOOKUP($C$33,'Bemessungsregendaten, kfu'!$D$20:$N$41,12,0)</f>
        <v>39.200000000000003</v>
      </c>
      <c r="D46" s="959"/>
      <c r="E46" s="960">
        <f t="shared" si="2"/>
        <v>0</v>
      </c>
      <c r="F46" s="961"/>
      <c r="G46" s="960">
        <f t="shared" si="0"/>
        <v>0</v>
      </c>
      <c r="H46" s="961"/>
      <c r="I46" s="55"/>
      <c r="J46" s="55"/>
      <c r="K46" s="55"/>
      <c r="L46" s="55"/>
      <c r="M46" s="55"/>
      <c r="N46" s="55"/>
      <c r="Q46" s="256">
        <v>240</v>
      </c>
      <c r="R46" s="255">
        <f t="shared" si="3"/>
        <v>100.07432945602218</v>
      </c>
      <c r="S46" s="255">
        <f t="shared" si="1"/>
        <v>200.14866186880602</v>
      </c>
      <c r="T46" s="248">
        <f t="shared" si="4"/>
        <v>0</v>
      </c>
      <c r="U46" s="248">
        <f t="shared" si="5"/>
        <v>0</v>
      </c>
    </row>
    <row r="47" spans="1:21" s="32" customFormat="1" ht="9.9499999999999993" customHeight="1" x14ac:dyDescent="0.2">
      <c r="A47" s="956" t="s">
        <v>13</v>
      </c>
      <c r="B47" s="957"/>
      <c r="C47" s="958">
        <f>HLOOKUP($C$33,'Bemessungsregendaten, kfu'!$D$20:$N$41,13,0)</f>
        <v>45.8</v>
      </c>
      <c r="D47" s="959"/>
      <c r="E47" s="960">
        <f t="shared" si="2"/>
        <v>0</v>
      </c>
      <c r="F47" s="961"/>
      <c r="G47" s="960">
        <f t="shared" si="0"/>
        <v>0</v>
      </c>
      <c r="H47" s="961"/>
      <c r="I47" s="55"/>
      <c r="J47" s="55"/>
      <c r="K47" s="55"/>
      <c r="L47" s="55"/>
      <c r="M47" s="55"/>
      <c r="N47" s="55"/>
      <c r="Q47" s="256">
        <v>360</v>
      </c>
      <c r="R47" s="255">
        <f t="shared" si="3"/>
        <v>150.11149418403329</v>
      </c>
      <c r="S47" s="255">
        <f t="shared" si="1"/>
        <v>300.22299280320908</v>
      </c>
      <c r="T47" s="248">
        <f t="shared" si="4"/>
        <v>0</v>
      </c>
      <c r="U47" s="248">
        <f t="shared" si="5"/>
        <v>0</v>
      </c>
    </row>
    <row r="48" spans="1:21" s="32" customFormat="1" ht="9.9499999999999993" customHeight="1" x14ac:dyDescent="0.2">
      <c r="A48" s="956" t="s">
        <v>14</v>
      </c>
      <c r="B48" s="957"/>
      <c r="C48" s="958">
        <f>HLOOKUP($C$33,'Bemessungsregendaten, kfu'!$D$20:$N$41,14,0)</f>
        <v>53.5</v>
      </c>
      <c r="D48" s="959"/>
      <c r="E48" s="960">
        <f t="shared" si="2"/>
        <v>0</v>
      </c>
      <c r="F48" s="961"/>
      <c r="G48" s="960">
        <f t="shared" si="0"/>
        <v>0</v>
      </c>
      <c r="H48" s="961"/>
      <c r="I48" s="55"/>
      <c r="J48" s="55"/>
      <c r="K48" s="55"/>
      <c r="L48" s="55"/>
      <c r="M48" s="55"/>
      <c r="N48" s="55"/>
      <c r="Q48" s="256">
        <v>540</v>
      </c>
      <c r="R48" s="255">
        <f t="shared" si="3"/>
        <v>225.16724127604996</v>
      </c>
      <c r="S48" s="255">
        <f t="shared" si="1"/>
        <v>450.33448920481356</v>
      </c>
      <c r="T48" s="248">
        <f t="shared" si="4"/>
        <v>0</v>
      </c>
      <c r="U48" s="248">
        <f t="shared" si="5"/>
        <v>0</v>
      </c>
    </row>
    <row r="49" spans="1:21" s="32" customFormat="1" ht="9.9499999999999993" customHeight="1" x14ac:dyDescent="0.2">
      <c r="A49" s="956" t="s">
        <v>15</v>
      </c>
      <c r="B49" s="957"/>
      <c r="C49" s="958">
        <f>HLOOKUP($C$33,'Bemessungsregendaten, kfu'!$D$20:$N$41,15,0)</f>
        <v>59.3</v>
      </c>
      <c r="D49" s="959"/>
      <c r="E49" s="960">
        <f t="shared" si="2"/>
        <v>0</v>
      </c>
      <c r="F49" s="961"/>
      <c r="G49" s="960">
        <f t="shared" si="0"/>
        <v>0</v>
      </c>
      <c r="H49" s="961"/>
      <c r="I49" s="55"/>
      <c r="J49" s="55"/>
      <c r="K49" s="55"/>
      <c r="L49" s="55"/>
      <c r="M49" s="55"/>
      <c r="N49" s="55"/>
      <c r="Q49" s="256">
        <v>720</v>
      </c>
      <c r="R49" s="255">
        <f t="shared" si="3"/>
        <v>300.22298836806658</v>
      </c>
      <c r="S49" s="255">
        <f t="shared" si="1"/>
        <v>600.44598560641816</v>
      </c>
      <c r="T49" s="248">
        <f t="shared" si="4"/>
        <v>0</v>
      </c>
      <c r="U49" s="248">
        <f t="shared" si="5"/>
        <v>0</v>
      </c>
    </row>
    <row r="50" spans="1:21" s="32" customFormat="1" ht="9.9499999999999993" customHeight="1" x14ac:dyDescent="0.2">
      <c r="A50" s="956" t="s">
        <v>16</v>
      </c>
      <c r="B50" s="957"/>
      <c r="C50" s="958">
        <f>HLOOKUP($C$33,'Bemessungsregendaten, kfu'!$D$20:$N$41,16,0)</f>
        <v>67.900000000000006</v>
      </c>
      <c r="D50" s="959"/>
      <c r="E50" s="960">
        <f t="shared" si="2"/>
        <v>0</v>
      </c>
      <c r="F50" s="961"/>
      <c r="G50" s="960">
        <f t="shared" si="0"/>
        <v>0</v>
      </c>
      <c r="H50" s="961"/>
      <c r="I50" s="55"/>
      <c r="J50" s="55"/>
      <c r="K50" s="55"/>
      <c r="L50" s="55"/>
      <c r="M50" s="55"/>
      <c r="N50" s="55"/>
      <c r="Q50" s="256">
        <v>1080</v>
      </c>
      <c r="R50" s="255">
        <f t="shared" si="3"/>
        <v>450.33448255209993</v>
      </c>
      <c r="S50" s="255">
        <f t="shared" si="1"/>
        <v>900.66897840962713</v>
      </c>
      <c r="T50" s="248">
        <f t="shared" si="4"/>
        <v>0</v>
      </c>
      <c r="U50" s="248">
        <f t="shared" si="5"/>
        <v>0</v>
      </c>
    </row>
    <row r="51" spans="1:21" s="32" customFormat="1" ht="9.9499999999999993" customHeight="1" x14ac:dyDescent="0.2">
      <c r="A51" s="956" t="s">
        <v>17</v>
      </c>
      <c r="B51" s="957"/>
      <c r="C51" s="958">
        <f>HLOOKUP($C$33,'Bemessungsregendaten, kfu'!$D$20:$N$41,17,0)</f>
        <v>70.400000000000006</v>
      </c>
      <c r="D51" s="959"/>
      <c r="E51" s="960">
        <f t="shared" si="2"/>
        <v>0</v>
      </c>
      <c r="F51" s="961"/>
      <c r="G51" s="960">
        <f t="shared" si="0"/>
        <v>0</v>
      </c>
      <c r="H51" s="961"/>
      <c r="I51" s="55"/>
      <c r="J51" s="55"/>
      <c r="K51" s="55"/>
      <c r="L51" s="55"/>
      <c r="M51" s="55"/>
      <c r="N51" s="55"/>
      <c r="Q51" s="256">
        <v>1440</v>
      </c>
      <c r="R51" s="255">
        <f t="shared" si="3"/>
        <v>600.44597673613316</v>
      </c>
      <c r="S51" s="255">
        <f t="shared" si="1"/>
        <v>1200.8919712128363</v>
      </c>
      <c r="T51" s="248">
        <f t="shared" si="4"/>
        <v>0</v>
      </c>
      <c r="U51" s="248">
        <f t="shared" si="5"/>
        <v>0</v>
      </c>
    </row>
    <row r="52" spans="1:21" s="32" customFormat="1" ht="9.9499999999999993" customHeight="1" x14ac:dyDescent="0.2">
      <c r="A52" s="956" t="s">
        <v>18</v>
      </c>
      <c r="B52" s="957"/>
      <c r="C52" s="958">
        <f>HLOOKUP($C$33,'Bemessungsregendaten, kfu'!$D$20:$N$41,18,0)</f>
        <v>83.6</v>
      </c>
      <c r="D52" s="959"/>
      <c r="E52" s="960">
        <f t="shared" si="2"/>
        <v>0</v>
      </c>
      <c r="F52" s="961"/>
      <c r="G52" s="960">
        <f t="shared" si="0"/>
        <v>0</v>
      </c>
      <c r="H52" s="961"/>
      <c r="I52" s="55"/>
      <c r="J52" s="55"/>
      <c r="K52" s="55"/>
      <c r="L52" s="55"/>
      <c r="M52" s="55"/>
      <c r="N52" s="55"/>
      <c r="Q52" s="256">
        <v>2880</v>
      </c>
      <c r="R52" s="255">
        <f t="shared" si="3"/>
        <v>1200.8919534722663</v>
      </c>
      <c r="S52" s="255">
        <f t="shared" si="1"/>
        <v>2401.7839424256726</v>
      </c>
      <c r="T52" s="248">
        <f t="shared" si="4"/>
        <v>0</v>
      </c>
      <c r="U52" s="248">
        <f t="shared" si="5"/>
        <v>0</v>
      </c>
    </row>
    <row r="53" spans="1:21" s="32" customFormat="1" ht="9.9499999999999993" customHeight="1" x14ac:dyDescent="0.2">
      <c r="A53" s="956" t="s">
        <v>19</v>
      </c>
      <c r="B53" s="957"/>
      <c r="C53" s="958">
        <f>HLOOKUP($C$33,'Bemessungsregendaten, kfu'!$D$20:$N$41,19,0)</f>
        <v>92.6</v>
      </c>
      <c r="D53" s="959"/>
      <c r="E53" s="960">
        <f t="shared" si="2"/>
        <v>0</v>
      </c>
      <c r="F53" s="961"/>
      <c r="G53" s="960">
        <f t="shared" si="0"/>
        <v>0</v>
      </c>
      <c r="H53" s="961"/>
      <c r="I53" s="55"/>
      <c r="J53" s="55"/>
      <c r="K53" s="55"/>
      <c r="L53" s="55"/>
      <c r="M53" s="55"/>
      <c r="N53" s="55"/>
      <c r="Q53" s="256">
        <v>4320</v>
      </c>
      <c r="R53" s="255">
        <f t="shared" si="3"/>
        <v>1801.3379302083997</v>
      </c>
      <c r="S53" s="255">
        <f t="shared" si="1"/>
        <v>3602.6759136385085</v>
      </c>
      <c r="T53" s="248">
        <f t="shared" si="4"/>
        <v>0</v>
      </c>
      <c r="U53" s="248">
        <f t="shared" si="5"/>
        <v>0</v>
      </c>
    </row>
    <row r="54" spans="1:21" s="32" customFormat="1" ht="9.9499999999999993" customHeight="1" x14ac:dyDescent="0.2">
      <c r="A54" s="956" t="s">
        <v>20</v>
      </c>
      <c r="B54" s="957"/>
      <c r="C54" s="958">
        <f>HLOOKUP($C$33,'Bemessungsregendaten, kfu'!$D$20:$N$41,20,0)</f>
        <v>99.1</v>
      </c>
      <c r="D54" s="959"/>
      <c r="E54" s="960">
        <f t="shared" si="2"/>
        <v>0</v>
      </c>
      <c r="F54" s="961"/>
      <c r="G54" s="960">
        <f t="shared" si="0"/>
        <v>0</v>
      </c>
      <c r="H54" s="961"/>
      <c r="I54" s="55"/>
      <c r="J54" s="55"/>
      <c r="K54" s="55"/>
      <c r="L54" s="55"/>
      <c r="M54" s="55"/>
      <c r="N54" s="55"/>
      <c r="Q54" s="256">
        <v>5760</v>
      </c>
      <c r="R54" s="255">
        <f t="shared" si="3"/>
        <v>2401.7839069445326</v>
      </c>
      <c r="S54" s="255">
        <f t="shared" si="1"/>
        <v>4803.5678848513453</v>
      </c>
      <c r="T54" s="248">
        <f t="shared" si="4"/>
        <v>0</v>
      </c>
      <c r="U54" s="248">
        <f t="shared" si="5"/>
        <v>0</v>
      </c>
    </row>
    <row r="55" spans="1:21" s="32" customFormat="1" ht="9.9499999999999993" customHeight="1" x14ac:dyDescent="0.2">
      <c r="A55" s="956" t="s">
        <v>21</v>
      </c>
      <c r="B55" s="957"/>
      <c r="C55" s="958">
        <f>HLOOKUP($C$33,'Bemessungsregendaten, kfu'!$D$20:$N$41,21,0)</f>
        <v>104.4</v>
      </c>
      <c r="D55" s="959"/>
      <c r="E55" s="960">
        <f t="shared" si="2"/>
        <v>0</v>
      </c>
      <c r="F55" s="961"/>
      <c r="G55" s="960">
        <f t="shared" si="0"/>
        <v>0</v>
      </c>
      <c r="H55" s="961"/>
      <c r="I55" s="55"/>
      <c r="J55" s="55"/>
      <c r="K55" s="55"/>
      <c r="L55" s="55"/>
      <c r="M55" s="55"/>
      <c r="N55" s="55"/>
      <c r="Q55" s="256">
        <v>7200</v>
      </c>
      <c r="R55" s="255">
        <f t="shared" si="3"/>
        <v>3002.2298836806658</v>
      </c>
      <c r="S55" s="255">
        <f t="shared" si="1"/>
        <v>6004.4598560641807</v>
      </c>
      <c r="T55" s="248">
        <f t="shared" si="4"/>
        <v>0</v>
      </c>
      <c r="U55" s="248">
        <f t="shared" si="5"/>
        <v>0</v>
      </c>
    </row>
    <row r="56" spans="1:21" s="32" customFormat="1" ht="9.9499999999999993" customHeight="1" thickBot="1" x14ac:dyDescent="0.25">
      <c r="A56" s="1095" t="s">
        <v>22</v>
      </c>
      <c r="B56" s="1096"/>
      <c r="C56" s="1066">
        <f>HLOOKUP($C$33,'Bemessungsregendaten, kfu'!$D$20:$N$304,22,0)</f>
        <v>110.1</v>
      </c>
      <c r="D56" s="1067"/>
      <c r="E56" s="960">
        <f t="shared" si="2"/>
        <v>0</v>
      </c>
      <c r="F56" s="961"/>
      <c r="G56" s="960">
        <f t="shared" si="0"/>
        <v>0</v>
      </c>
      <c r="H56" s="961"/>
      <c r="I56" s="55"/>
      <c r="J56" s="55"/>
      <c r="K56" s="55"/>
      <c r="L56" s="55"/>
      <c r="M56" s="55"/>
      <c r="N56" s="55"/>
      <c r="Q56" s="256">
        <v>8640</v>
      </c>
      <c r="R56" s="255">
        <f>Q56*($G$19/2)*$G$20*((($G$24^2*PI())/4)/$G$17)*60000</f>
        <v>3602.6758604167994</v>
      </c>
      <c r="S56" s="255">
        <f t="shared" si="1"/>
        <v>7205.351827277017</v>
      </c>
      <c r="T56" s="248">
        <f t="shared" si="4"/>
        <v>0</v>
      </c>
      <c r="U56" s="248">
        <f t="shared" si="5"/>
        <v>0</v>
      </c>
    </row>
    <row r="57" spans="1:21" ht="3" customHeight="1" thickBot="1" x14ac:dyDescent="0.25">
      <c r="A57" s="1062"/>
      <c r="B57" s="1062"/>
      <c r="C57" s="1062"/>
      <c r="D57" s="1062"/>
      <c r="E57" s="1062"/>
      <c r="F57" s="1062"/>
      <c r="G57" s="1062"/>
      <c r="H57" s="1062"/>
      <c r="I57" s="55"/>
      <c r="J57" s="55"/>
      <c r="K57" s="55"/>
      <c r="L57" s="55"/>
      <c r="M57" s="55"/>
      <c r="N57" s="55"/>
      <c r="T57" s="33"/>
      <c r="U57" s="33"/>
    </row>
    <row r="58" spans="1:21" ht="15.75" customHeight="1" thickBot="1" x14ac:dyDescent="0.25">
      <c r="A58" s="1059" t="s">
        <v>101</v>
      </c>
      <c r="B58" s="1060"/>
      <c r="C58" s="1060"/>
      <c r="D58" s="1060"/>
      <c r="E58" s="1060"/>
      <c r="F58" s="1060"/>
      <c r="G58" s="1060"/>
      <c r="H58" s="1061"/>
      <c r="I58" s="75"/>
      <c r="J58" s="75"/>
      <c r="K58" s="75"/>
      <c r="L58" s="75"/>
      <c r="M58" s="75"/>
      <c r="N58" s="75"/>
      <c r="R58" s="23"/>
      <c r="S58" s="23"/>
      <c r="T58" s="9"/>
      <c r="U58" s="9"/>
    </row>
    <row r="59" spans="1:21" ht="11.25" customHeight="1" x14ac:dyDescent="0.2">
      <c r="A59" s="290"/>
      <c r="B59" s="291"/>
      <c r="C59" s="291"/>
      <c r="D59" s="291"/>
      <c r="E59" s="1094" t="s">
        <v>146</v>
      </c>
      <c r="F59" s="1094"/>
      <c r="G59" s="1070" t="s">
        <v>154</v>
      </c>
      <c r="H59" s="1071"/>
      <c r="I59" s="75"/>
      <c r="J59" s="75"/>
      <c r="K59" s="75"/>
      <c r="L59" s="75"/>
      <c r="M59" s="75"/>
      <c r="N59" s="75"/>
      <c r="R59" s="23"/>
      <c r="S59" s="23"/>
      <c r="T59" s="9"/>
      <c r="U59" s="9"/>
    </row>
    <row r="60" spans="1:21" ht="13.5" customHeight="1" x14ac:dyDescent="0.2">
      <c r="A60" s="1046" t="s">
        <v>65</v>
      </c>
      <c r="B60" s="1047"/>
      <c r="C60" s="1047"/>
      <c r="D60" s="1047"/>
      <c r="E60" s="1093">
        <f>MAX(E36:E56)</f>
        <v>11.596602996334031</v>
      </c>
      <c r="F60" s="1093"/>
      <c r="G60" s="1068">
        <f>MAX(G35:G56)</f>
        <v>8.1901852656250007</v>
      </c>
      <c r="H60" s="1069"/>
      <c r="I60" s="407">
        <f>G60-G29*(G26+G21)*G27/100</f>
        <v>8.0674668007812507</v>
      </c>
      <c r="J60" s="244"/>
      <c r="K60" s="12"/>
      <c r="L60" s="1063"/>
      <c r="M60" s="1063"/>
      <c r="N60" s="1063"/>
      <c r="Q60" s="257"/>
    </row>
    <row r="61" spans="1:21" ht="13.5" customHeight="1" x14ac:dyDescent="0.2">
      <c r="A61" s="1046" t="s">
        <v>110</v>
      </c>
      <c r="B61" s="1047"/>
      <c r="C61" s="1047"/>
      <c r="D61" s="1047"/>
      <c r="E61" s="1091">
        <f>E60/I24</f>
        <v>2.3624405631242826</v>
      </c>
      <c r="F61" s="1092"/>
      <c r="G61" s="1103">
        <f>(ROUND(I60/(I24+(G29-I25)*G27/100),2))</f>
        <v>1.36</v>
      </c>
      <c r="H61" s="1104"/>
      <c r="I61" s="12"/>
      <c r="J61" s="12"/>
      <c r="K61" s="12"/>
      <c r="L61" s="1063"/>
      <c r="M61" s="1063"/>
      <c r="N61" s="1063"/>
      <c r="Q61" s="257"/>
    </row>
    <row r="62" spans="1:21" s="19" customFormat="1" ht="11.25" customHeight="1" x14ac:dyDescent="0.2">
      <c r="A62" s="1078" t="s">
        <v>267</v>
      </c>
      <c r="B62" s="1079"/>
      <c r="C62" s="1079"/>
      <c r="D62" s="1079"/>
      <c r="E62" s="1100">
        <f>'SIR-AQF'!H39/100</f>
        <v>2.37</v>
      </c>
      <c r="F62" s="1101"/>
      <c r="G62" s="1101"/>
      <c r="H62" s="1102"/>
      <c r="I62" s="83"/>
      <c r="J62" s="62"/>
      <c r="K62" s="62"/>
      <c r="L62" s="1063"/>
      <c r="M62" s="1063"/>
      <c r="N62" s="1063"/>
      <c r="Q62" s="258"/>
      <c r="R62" s="258"/>
      <c r="S62" s="258"/>
    </row>
    <row r="63" spans="1:21" s="19" customFormat="1" ht="11.25" customHeight="1" x14ac:dyDescent="0.2">
      <c r="A63" s="1051"/>
      <c r="B63" s="1080"/>
      <c r="C63" s="1080"/>
      <c r="D63" s="1080"/>
      <c r="E63" s="1081" t="str">
        <f>IF(E62=MAX(E61:H61),"Stauhöhe OK.",IF(E62&gt;MAX(E61:H61),"Stauhöhe OK.","ACHTUNG! Gewählte Stauhöhe zu gering!"))</f>
        <v>Stauhöhe OK.</v>
      </c>
      <c r="F63" s="1082"/>
      <c r="G63" s="1082"/>
      <c r="H63" s="1083"/>
      <c r="I63" s="83"/>
      <c r="J63" s="62"/>
      <c r="K63" s="62"/>
      <c r="L63" s="1063"/>
      <c r="M63" s="1063"/>
      <c r="N63" s="1063"/>
      <c r="Q63" s="258"/>
      <c r="R63" s="258"/>
      <c r="S63" s="258"/>
    </row>
    <row r="64" spans="1:21" s="19" customFormat="1" ht="13.5" customHeight="1" x14ac:dyDescent="0.2">
      <c r="A64" s="1046" t="s">
        <v>156</v>
      </c>
      <c r="B64" s="1047"/>
      <c r="C64" s="1047"/>
      <c r="D64" s="1047"/>
      <c r="E64" s="1085"/>
      <c r="F64" s="1086"/>
      <c r="G64" s="1064">
        <f>E62+G26+G28+G21</f>
        <v>3.32</v>
      </c>
      <c r="H64" s="1065"/>
      <c r="I64" s="62"/>
      <c r="J64" s="62"/>
      <c r="K64" s="62"/>
      <c r="L64" s="1063"/>
      <c r="M64" s="1063"/>
      <c r="N64" s="1063"/>
      <c r="Q64" s="258"/>
      <c r="R64" s="258"/>
      <c r="S64" s="258"/>
    </row>
    <row r="65" spans="1:21" s="19" customFormat="1" ht="13.5" customHeight="1" x14ac:dyDescent="0.2">
      <c r="A65" s="1046" t="s">
        <v>67</v>
      </c>
      <c r="B65" s="1047"/>
      <c r="C65" s="1047"/>
      <c r="D65" s="1047"/>
      <c r="E65" s="1087"/>
      <c r="F65" s="1087"/>
      <c r="G65" s="178" t="str">
        <f>IF((MAX(G35:G56)&gt;0),(INDEX(A35:A56,MATCH(MAX(G35:G56),G35:G56,0))),"-")</f>
        <v>5 min.</v>
      </c>
      <c r="H65" s="245">
        <f>IF((MAX(G35:G56)&gt;0),(INDEX(C35:C56,MATCH(MAX(G35:G56),G35:G56,0))),"-")</f>
        <v>11.9</v>
      </c>
      <c r="I65" s="62"/>
      <c r="J65" s="62"/>
      <c r="K65" s="62"/>
      <c r="L65" s="1063"/>
      <c r="M65" s="1063"/>
      <c r="N65" s="1063"/>
      <c r="Q65" s="258"/>
      <c r="R65" s="258"/>
      <c r="S65" s="258"/>
    </row>
    <row r="66" spans="1:21" s="19" customFormat="1" ht="13.5" customHeight="1" x14ac:dyDescent="0.2">
      <c r="A66" s="1056" t="s">
        <v>175</v>
      </c>
      <c r="B66" s="1084"/>
      <c r="C66" s="1084"/>
      <c r="D66" s="1084"/>
      <c r="E66" s="1088">
        <f>C33</f>
        <v>5</v>
      </c>
      <c r="F66" s="1089"/>
      <c r="G66" s="1089"/>
      <c r="H66" s="1090"/>
      <c r="I66" s="62"/>
      <c r="J66" s="62"/>
      <c r="K66" s="62"/>
      <c r="L66" s="1063"/>
      <c r="M66" s="1063"/>
      <c r="N66" s="1063"/>
      <c r="Q66" s="258"/>
      <c r="R66" s="258"/>
      <c r="S66" s="258"/>
      <c r="U66" s="289">
        <f>MAX(E61:H61)</f>
        <v>2.3624405631242826</v>
      </c>
    </row>
    <row r="67" spans="1:21" s="19" customFormat="1" ht="13.5" customHeight="1" x14ac:dyDescent="0.2">
      <c r="A67" s="1056" t="s">
        <v>309</v>
      </c>
      <c r="B67" s="1141"/>
      <c r="C67" s="1141"/>
      <c r="D67" s="1142"/>
      <c r="E67" s="1054">
        <f>I24*(G19*G20)*1000</f>
        <v>14.726215563702157</v>
      </c>
      <c r="F67" s="1105"/>
      <c r="G67" s="1054">
        <f>G29*(G22*G23)*1000</f>
        <v>29.452431562499999</v>
      </c>
      <c r="H67" s="1055"/>
      <c r="I67" s="62"/>
      <c r="J67" s="134"/>
      <c r="K67" s="62"/>
      <c r="L67" s="1063"/>
      <c r="M67" s="1063"/>
      <c r="N67" s="1063"/>
      <c r="Q67" s="259"/>
      <c r="R67" s="258"/>
      <c r="S67" s="258"/>
    </row>
    <row r="68" spans="1:21" s="19" customFormat="1" ht="13.5" customHeight="1" x14ac:dyDescent="0.2">
      <c r="A68" s="1051" t="s">
        <v>310</v>
      </c>
      <c r="B68" s="1052"/>
      <c r="C68" s="1052"/>
      <c r="D68" s="1053"/>
      <c r="E68" s="1048">
        <f>E67*3.6*24</f>
        <v>1272.3450247038663</v>
      </c>
      <c r="F68" s="1049"/>
      <c r="G68" s="1048">
        <f>G67*3.6*24</f>
        <v>2544.6900869999999</v>
      </c>
      <c r="H68" s="1050"/>
      <c r="I68" s="62"/>
      <c r="J68" s="134"/>
      <c r="K68" s="62"/>
      <c r="L68" s="1063"/>
      <c r="M68" s="1063"/>
      <c r="N68" s="1063"/>
      <c r="Q68" s="259"/>
      <c r="R68" s="258"/>
      <c r="S68" s="258"/>
    </row>
    <row r="69" spans="1:21" s="19" customFormat="1" ht="13.5" customHeight="1" x14ac:dyDescent="0.2">
      <c r="A69" s="1056" t="s">
        <v>315</v>
      </c>
      <c r="B69" s="1047"/>
      <c r="C69" s="1047"/>
      <c r="D69" s="1106"/>
      <c r="E69" s="1075">
        <f>MIN(E68:H68)</f>
        <v>1272.3450247038663</v>
      </c>
      <c r="F69" s="1076"/>
      <c r="G69" s="1076"/>
      <c r="H69" s="1077"/>
      <c r="I69" s="62"/>
      <c r="J69" s="134"/>
      <c r="K69" s="62"/>
      <c r="L69" s="1063"/>
      <c r="M69" s="1063"/>
      <c r="N69" s="1063"/>
      <c r="Q69" s="259"/>
      <c r="R69" s="258"/>
      <c r="S69" s="258"/>
    </row>
    <row r="70" spans="1:21" s="19" customFormat="1" ht="13.5" customHeight="1" x14ac:dyDescent="0.2">
      <c r="A70" s="1051" t="s">
        <v>316</v>
      </c>
      <c r="B70" s="1052"/>
      <c r="C70" s="1052"/>
      <c r="D70" s="1053"/>
      <c r="E70" s="1075">
        <f>'Bemessungsregendaten, kfu'!D36*G17/1000</f>
        <v>47.253700000000002</v>
      </c>
      <c r="F70" s="1076"/>
      <c r="G70" s="1076"/>
      <c r="H70" s="1077"/>
      <c r="I70" s="62"/>
      <c r="J70" s="62"/>
      <c r="K70" s="62"/>
      <c r="L70" s="1063"/>
      <c r="M70" s="1063"/>
      <c r="N70" s="1063"/>
      <c r="Q70" s="258"/>
      <c r="R70" s="258"/>
      <c r="S70" s="258"/>
    </row>
    <row r="71" spans="1:21" s="19" customFormat="1" ht="13.5" thickBot="1" x14ac:dyDescent="0.25">
      <c r="A71" s="1097" t="s">
        <v>216</v>
      </c>
      <c r="B71" s="1098"/>
      <c r="C71" s="1098"/>
      <c r="D71" s="1098"/>
      <c r="E71" s="1098"/>
      <c r="F71" s="1099"/>
      <c r="G71" s="1072">
        <f>G64+1</f>
        <v>4.32</v>
      </c>
      <c r="H71" s="1073"/>
      <c r="I71" s="1074"/>
      <c r="J71" s="1074"/>
      <c r="K71" s="1074"/>
      <c r="L71" s="1063"/>
      <c r="M71" s="1063"/>
      <c r="N71" s="1063"/>
      <c r="Q71" s="258"/>
      <c r="R71" s="258"/>
      <c r="S71" s="258"/>
    </row>
    <row r="72" spans="1:21" ht="46.5" customHeight="1" thickBot="1" x14ac:dyDescent="0.25">
      <c r="A72" s="280"/>
      <c r="B72" s="280"/>
      <c r="C72" s="280"/>
      <c r="D72" s="280"/>
      <c r="E72" s="280"/>
      <c r="F72" s="280"/>
      <c r="G72" s="280"/>
      <c r="H72" s="280"/>
      <c r="I72" s="64"/>
      <c r="J72" s="64"/>
      <c r="K72" s="64"/>
      <c r="L72" s="64"/>
      <c r="M72" s="64"/>
      <c r="N72" s="64"/>
      <c r="O72" s="23"/>
      <c r="P72" s="23"/>
      <c r="Q72" s="23"/>
    </row>
    <row r="73" spans="1:21" ht="13.5" thickBot="1" x14ac:dyDescent="0.25">
      <c r="A73" s="1037" t="s">
        <v>227</v>
      </c>
      <c r="B73" s="1038"/>
      <c r="C73" s="1038"/>
      <c r="D73" s="1038"/>
      <c r="E73" s="1038"/>
      <c r="F73" s="1038"/>
      <c r="G73" s="1038"/>
      <c r="H73" s="1039"/>
      <c r="I73" s="64"/>
      <c r="J73" s="64"/>
      <c r="K73" s="64"/>
      <c r="L73" s="64"/>
      <c r="M73" s="64"/>
      <c r="N73" s="64"/>
      <c r="O73" s="23"/>
      <c r="P73" s="23"/>
      <c r="Q73" s="23"/>
    </row>
    <row r="74" spans="1:21" ht="19.5" customHeight="1" x14ac:dyDescent="0.2">
      <c r="A74" s="1040"/>
      <c r="B74" s="1041"/>
      <c r="C74" s="1041"/>
      <c r="D74" s="1041"/>
      <c r="E74" s="1041"/>
      <c r="F74" s="1041"/>
      <c r="G74" s="1041"/>
      <c r="H74" s="1042"/>
      <c r="I74" s="64"/>
      <c r="J74" s="64"/>
      <c r="K74" s="64"/>
      <c r="L74" s="64"/>
      <c r="M74" s="64"/>
      <c r="N74" s="64"/>
      <c r="O74" s="23"/>
      <c r="P74" s="23"/>
      <c r="Q74" s="23"/>
    </row>
    <row r="75" spans="1:21" x14ac:dyDescent="0.2">
      <c r="A75" s="1040"/>
      <c r="B75" s="1041"/>
      <c r="C75" s="1041"/>
      <c r="D75" s="1041"/>
      <c r="E75" s="1041"/>
      <c r="F75" s="1041"/>
      <c r="G75" s="1041"/>
      <c r="H75" s="1042"/>
      <c r="I75" s="64"/>
      <c r="J75" s="64"/>
      <c r="K75" s="64"/>
      <c r="L75" s="64"/>
      <c r="M75" s="64"/>
      <c r="N75" s="64"/>
      <c r="O75" s="23"/>
      <c r="P75" s="23"/>
      <c r="Q75" s="23"/>
    </row>
    <row r="76" spans="1:21" ht="28.5" customHeight="1" x14ac:dyDescent="0.2">
      <c r="A76" s="1040"/>
      <c r="B76" s="1041"/>
      <c r="C76" s="1041"/>
      <c r="D76" s="1041"/>
      <c r="E76" s="1041"/>
      <c r="F76" s="1041"/>
      <c r="G76" s="1041"/>
      <c r="H76" s="1042"/>
      <c r="I76" s="64"/>
      <c r="J76" s="64"/>
      <c r="K76" s="64"/>
      <c r="L76" s="64"/>
      <c r="M76" s="64"/>
      <c r="N76" s="64"/>
      <c r="O76" s="23"/>
      <c r="P76" s="23"/>
      <c r="Q76" s="23"/>
    </row>
    <row r="77" spans="1:21" ht="36" customHeight="1" x14ac:dyDescent="0.2">
      <c r="A77" s="1040"/>
      <c r="B77" s="1041"/>
      <c r="C77" s="1041"/>
      <c r="D77" s="1041"/>
      <c r="E77" s="1041"/>
      <c r="F77" s="1041"/>
      <c r="G77" s="1041"/>
      <c r="H77" s="1042"/>
      <c r="I77" s="64"/>
      <c r="J77" s="64"/>
      <c r="K77" s="64"/>
      <c r="L77" s="64"/>
      <c r="M77" s="64"/>
      <c r="N77" s="64"/>
      <c r="O77" s="23"/>
      <c r="P77" s="23"/>
      <c r="Q77" s="23"/>
    </row>
    <row r="78" spans="1:21" ht="72" customHeight="1" x14ac:dyDescent="0.2">
      <c r="A78" s="1040"/>
      <c r="B78" s="1041"/>
      <c r="C78" s="1041"/>
      <c r="D78" s="1041"/>
      <c r="E78" s="1041"/>
      <c r="F78" s="1041"/>
      <c r="G78" s="1041"/>
      <c r="H78" s="1042"/>
      <c r="I78" s="64"/>
      <c r="J78" s="64"/>
      <c r="K78" s="64"/>
      <c r="L78" s="64"/>
      <c r="M78" s="64"/>
      <c r="N78" s="64"/>
      <c r="O78" s="23"/>
      <c r="P78" s="23"/>
      <c r="Q78" s="23"/>
    </row>
    <row r="79" spans="1:21" x14ac:dyDescent="0.2">
      <c r="A79" s="1040"/>
      <c r="B79" s="1041"/>
      <c r="C79" s="1041"/>
      <c r="D79" s="1041"/>
      <c r="E79" s="1041"/>
      <c r="F79" s="1041"/>
      <c r="G79" s="1041"/>
      <c r="H79" s="1042"/>
      <c r="I79" s="64"/>
      <c r="J79" s="64"/>
      <c r="K79" s="64"/>
      <c r="L79" s="64"/>
      <c r="M79" s="64"/>
      <c r="N79" s="64"/>
      <c r="O79" s="23"/>
      <c r="P79" s="23"/>
      <c r="Q79" s="23"/>
    </row>
    <row r="80" spans="1:21" ht="46.5" customHeight="1" x14ac:dyDescent="0.2">
      <c r="A80" s="1040"/>
      <c r="B80" s="1041"/>
      <c r="C80" s="1041"/>
      <c r="D80" s="1041"/>
      <c r="E80" s="1041"/>
      <c r="F80" s="1041"/>
      <c r="G80" s="1041"/>
      <c r="H80" s="1042"/>
      <c r="I80" s="64"/>
      <c r="J80" s="64"/>
      <c r="K80" s="64"/>
      <c r="L80" s="64"/>
      <c r="M80" s="64"/>
      <c r="N80" s="64"/>
      <c r="O80" s="23"/>
      <c r="P80" s="23"/>
      <c r="Q80" s="23"/>
    </row>
    <row r="81" spans="1:21" ht="50.25" customHeight="1" x14ac:dyDescent="0.2">
      <c r="A81" s="1040"/>
      <c r="B81" s="1041"/>
      <c r="C81" s="1041"/>
      <c r="D81" s="1041"/>
      <c r="E81" s="1041"/>
      <c r="F81" s="1041"/>
      <c r="G81" s="1041"/>
      <c r="H81" s="1042"/>
      <c r="I81" s="64"/>
      <c r="J81" s="64"/>
      <c r="K81" s="64"/>
      <c r="L81" s="64"/>
      <c r="M81" s="64"/>
      <c r="N81" s="64"/>
      <c r="O81" s="23"/>
      <c r="P81" s="23"/>
      <c r="Q81" s="23"/>
    </row>
    <row r="82" spans="1:21" ht="6.75" customHeight="1" x14ac:dyDescent="0.2">
      <c r="A82" s="1040"/>
      <c r="B82" s="1041"/>
      <c r="C82" s="1041"/>
      <c r="D82" s="1041"/>
      <c r="E82" s="1041"/>
      <c r="F82" s="1041"/>
      <c r="G82" s="1041"/>
      <c r="H82" s="1042"/>
      <c r="I82" s="64"/>
      <c r="J82" s="64"/>
      <c r="K82" s="64"/>
      <c r="L82" s="64"/>
      <c r="M82" s="64"/>
      <c r="N82" s="64"/>
      <c r="O82" s="23"/>
      <c r="P82" s="23"/>
      <c r="Q82" s="23"/>
    </row>
    <row r="83" spans="1:21" x14ac:dyDescent="0.2">
      <c r="A83" s="1040"/>
      <c r="B83" s="1041"/>
      <c r="C83" s="1041"/>
      <c r="D83" s="1041"/>
      <c r="E83" s="1041"/>
      <c r="F83" s="1041"/>
      <c r="G83" s="1041"/>
      <c r="H83" s="1042"/>
      <c r="I83" s="12"/>
      <c r="J83" s="12"/>
      <c r="K83" s="12"/>
      <c r="L83" s="12"/>
      <c r="M83" s="12"/>
      <c r="N83" s="12"/>
      <c r="O83" s="23"/>
      <c r="P83" s="23"/>
      <c r="Q83" s="23"/>
    </row>
    <row r="84" spans="1:21" x14ac:dyDescent="0.2">
      <c r="A84" s="1043"/>
      <c r="B84" s="1044"/>
      <c r="C84" s="1044"/>
      <c r="D84" s="1044"/>
      <c r="E84" s="1044"/>
      <c r="F84" s="1044"/>
      <c r="G84" s="1044"/>
      <c r="H84" s="1045"/>
      <c r="I84" s="10"/>
      <c r="J84" s="10"/>
      <c r="K84" s="10"/>
      <c r="L84" s="10"/>
      <c r="M84" s="10"/>
      <c r="N84" s="9"/>
      <c r="O84" s="9"/>
      <c r="P84" s="9"/>
      <c r="Q84" s="23"/>
    </row>
    <row r="85" spans="1:21" ht="28.5" customHeight="1" x14ac:dyDescent="0.2">
      <c r="A85" s="864"/>
      <c r="B85" s="864"/>
      <c r="C85" s="2"/>
      <c r="D85" s="901"/>
      <c r="E85" s="901"/>
      <c r="F85" s="2"/>
      <c r="I85" s="10"/>
      <c r="J85" s="10"/>
      <c r="K85" s="10"/>
      <c r="L85" s="10"/>
      <c r="M85" s="10"/>
      <c r="N85" s="9"/>
      <c r="O85" s="9"/>
      <c r="P85" s="9"/>
      <c r="Q85" s="23"/>
    </row>
    <row r="86" spans="1:21" s="1" customFormat="1" ht="36" customHeight="1" x14ac:dyDescent="0.2">
      <c r="A86" s="866"/>
      <c r="B86" s="866"/>
      <c r="C86" s="7"/>
      <c r="D86" s="6"/>
      <c r="F86" s="2"/>
      <c r="N86"/>
      <c r="O86"/>
      <c r="P86"/>
      <c r="Q86" s="22"/>
      <c r="R86" s="22"/>
      <c r="S86" s="22"/>
      <c r="T86"/>
      <c r="U86"/>
    </row>
    <row r="87" spans="1:21" s="1" customFormat="1" ht="72" customHeight="1" x14ac:dyDescent="0.2">
      <c r="A87" s="864"/>
      <c r="B87" s="864"/>
      <c r="C87" s="4"/>
      <c r="D87" s="6"/>
      <c r="F87" s="4"/>
      <c r="N87"/>
      <c r="O87"/>
      <c r="P87"/>
      <c r="Q87" s="22"/>
      <c r="R87" s="22"/>
      <c r="S87" s="22"/>
      <c r="T87"/>
      <c r="U87"/>
    </row>
    <row r="88" spans="1:21" s="1" customFormat="1" x14ac:dyDescent="0.2">
      <c r="A88" s="865"/>
      <c r="B88" s="865"/>
      <c r="C88" s="2"/>
      <c r="D88" s="8"/>
      <c r="F88" s="2"/>
      <c r="N88"/>
      <c r="O88"/>
      <c r="P88"/>
      <c r="Q88" s="22"/>
      <c r="R88" s="22"/>
      <c r="S88" s="22"/>
      <c r="T88"/>
      <c r="U88"/>
    </row>
    <row r="89" spans="1:21" s="1" customFormat="1" ht="46.5" customHeight="1" x14ac:dyDescent="0.2">
      <c r="A89"/>
      <c r="F89" s="2"/>
      <c r="N89"/>
      <c r="O89"/>
      <c r="P89"/>
      <c r="Q89" s="22"/>
      <c r="R89" s="22"/>
      <c r="S89" s="22"/>
      <c r="T89"/>
      <c r="U89"/>
    </row>
    <row r="90" spans="1:21" s="1" customFormat="1" ht="50.25" customHeight="1" x14ac:dyDescent="0.2">
      <c r="A90" s="864"/>
      <c r="B90" s="864"/>
      <c r="C90" s="4"/>
      <c r="D90" s="5"/>
      <c r="N90"/>
      <c r="O90"/>
      <c r="P90"/>
      <c r="Q90" s="22"/>
      <c r="R90" s="22"/>
      <c r="S90" s="22"/>
      <c r="T90"/>
      <c r="U90"/>
    </row>
    <row r="91" spans="1:21" s="1" customFormat="1" x14ac:dyDescent="0.2">
      <c r="A91" s="894"/>
      <c r="B91" s="894"/>
      <c r="N91"/>
      <c r="O91"/>
      <c r="P91"/>
      <c r="Q91" s="22"/>
      <c r="R91" s="22"/>
      <c r="S91" s="22"/>
      <c r="T91"/>
      <c r="U91"/>
    </row>
    <row r="92" spans="1:21" s="1" customFormat="1" x14ac:dyDescent="0.2">
      <c r="A92" s="584"/>
      <c r="B92" s="584"/>
      <c r="N92"/>
      <c r="O92"/>
      <c r="P92"/>
      <c r="Q92" s="22"/>
      <c r="R92" s="22"/>
      <c r="S92" s="22"/>
      <c r="T92"/>
      <c r="U92"/>
    </row>
    <row r="93" spans="1:21" s="1" customFormat="1" ht="28.5" customHeight="1" x14ac:dyDescent="0.2">
      <c r="A93" s="893"/>
      <c r="B93" s="893"/>
      <c r="C93" s="12"/>
      <c r="D93" s="13"/>
      <c r="F93" s="2"/>
      <c r="N93"/>
      <c r="O93"/>
      <c r="P93"/>
      <c r="Q93" s="22"/>
      <c r="R93" s="22"/>
      <c r="S93" s="22"/>
      <c r="T93"/>
      <c r="U93"/>
    </row>
    <row r="94" spans="1:21" s="1" customFormat="1" ht="29.25" customHeight="1" x14ac:dyDescent="0.2">
      <c r="A94" s="866"/>
      <c r="B94" s="867"/>
      <c r="C94" s="14"/>
      <c r="D94" s="15"/>
      <c r="F94" s="2"/>
      <c r="G94" s="2"/>
      <c r="H94" s="6"/>
      <c r="N94"/>
      <c r="O94"/>
      <c r="P94"/>
      <c r="Q94" s="22"/>
      <c r="R94" s="22"/>
      <c r="S94" s="22"/>
      <c r="T94"/>
      <c r="U94"/>
    </row>
    <row r="95" spans="1:21" s="1" customFormat="1" x14ac:dyDescent="0.2">
      <c r="A95" s="865"/>
      <c r="B95" s="892"/>
      <c r="C95" s="16"/>
      <c r="D95" s="17"/>
      <c r="F95" s="2"/>
      <c r="H95" s="6"/>
      <c r="N95"/>
      <c r="O95"/>
      <c r="P95"/>
      <c r="Q95" s="22"/>
      <c r="R95" s="22"/>
      <c r="S95" s="22"/>
      <c r="T95"/>
      <c r="U95"/>
    </row>
    <row r="96" spans="1:21" s="1" customFormat="1" ht="27.75" customHeight="1" x14ac:dyDescent="0.2">
      <c r="A96" s="866"/>
      <c r="B96" s="867"/>
      <c r="C96" s="14"/>
      <c r="D96" s="18"/>
      <c r="F96" s="4"/>
      <c r="H96" s="6"/>
      <c r="N96"/>
      <c r="O96"/>
      <c r="P96"/>
      <c r="Q96" s="22"/>
      <c r="R96" s="22"/>
      <c r="S96" s="22"/>
      <c r="T96"/>
      <c r="U96"/>
    </row>
    <row r="97" spans="1:21" s="1" customFormat="1" x14ac:dyDescent="0.2">
      <c r="A97" s="584"/>
      <c r="B97" s="584"/>
      <c r="C97" s="12"/>
      <c r="D97" s="12"/>
      <c r="N97"/>
      <c r="O97"/>
      <c r="P97"/>
      <c r="Q97" s="22"/>
      <c r="R97" s="22"/>
      <c r="S97" s="22"/>
      <c r="T97"/>
      <c r="U97"/>
    </row>
    <row r="98" spans="1:21" s="1" customFormat="1" x14ac:dyDescent="0.2">
      <c r="A98" s="584"/>
      <c r="B98" s="584"/>
      <c r="N98"/>
      <c r="O98"/>
      <c r="P98"/>
      <c r="Q98" s="22"/>
      <c r="R98" s="22"/>
      <c r="S98" s="22"/>
      <c r="T98"/>
      <c r="U98"/>
    </row>
  </sheetData>
  <dataConsolidate/>
  <mergeCells count="201">
    <mergeCell ref="A96:B96"/>
    <mergeCell ref="A97:B97"/>
    <mergeCell ref="A98:B98"/>
    <mergeCell ref="A86:B86"/>
    <mergeCell ref="A87:B87"/>
    <mergeCell ref="A88:B88"/>
    <mergeCell ref="A90:B90"/>
    <mergeCell ref="A91:B91"/>
    <mergeCell ref="A92:B92"/>
    <mergeCell ref="A93:B93"/>
    <mergeCell ref="A94:B94"/>
    <mergeCell ref="A95:B95"/>
    <mergeCell ref="A73:H73"/>
    <mergeCell ref="A74:H84"/>
    <mergeCell ref="A85:B85"/>
    <mergeCell ref="D85:E85"/>
    <mergeCell ref="A68:D68"/>
    <mergeCell ref="E68:F68"/>
    <mergeCell ref="G68:H68"/>
    <mergeCell ref="A69:D69"/>
    <mergeCell ref="E69:H69"/>
    <mergeCell ref="A70:D70"/>
    <mergeCell ref="L60:N71"/>
    <mergeCell ref="A61:D61"/>
    <mergeCell ref="E61:F61"/>
    <mergeCell ref="G61:H61"/>
    <mergeCell ref="A62:D63"/>
    <mergeCell ref="E62:H62"/>
    <mergeCell ref="E63:H63"/>
    <mergeCell ref="A64:D64"/>
    <mergeCell ref="E64:F64"/>
    <mergeCell ref="G64:H64"/>
    <mergeCell ref="E70:H70"/>
    <mergeCell ref="A65:D65"/>
    <mergeCell ref="E65:F65"/>
    <mergeCell ref="A66:D66"/>
    <mergeCell ref="E66:H66"/>
    <mergeCell ref="A67:D67"/>
    <mergeCell ref="E67:F67"/>
    <mergeCell ref="G67:H67"/>
    <mergeCell ref="A71:F71"/>
    <mergeCell ref="G71:H71"/>
    <mergeCell ref="I71:K71"/>
    <mergeCell ref="A57:H57"/>
    <mergeCell ref="A58:H58"/>
    <mergeCell ref="E59:F59"/>
    <mergeCell ref="G59:H59"/>
    <mergeCell ref="A60:D60"/>
    <mergeCell ref="E60:F60"/>
    <mergeCell ref="G60:H60"/>
    <mergeCell ref="A54:B54"/>
    <mergeCell ref="C54:D54"/>
    <mergeCell ref="E54:F54"/>
    <mergeCell ref="G54:H54"/>
    <mergeCell ref="A55:B55"/>
    <mergeCell ref="C55:D55"/>
    <mergeCell ref="E55:F55"/>
    <mergeCell ref="G55:H55"/>
    <mergeCell ref="A56:B56"/>
    <mergeCell ref="C56:D56"/>
    <mergeCell ref="E56:F56"/>
    <mergeCell ref="G56:H56"/>
    <mergeCell ref="A51:B51"/>
    <mergeCell ref="C51:D51"/>
    <mergeCell ref="E51:F51"/>
    <mergeCell ref="G51:H51"/>
    <mergeCell ref="A52:B52"/>
    <mergeCell ref="C52:D52"/>
    <mergeCell ref="E52:F52"/>
    <mergeCell ref="G52:H52"/>
    <mergeCell ref="A53:B53"/>
    <mergeCell ref="C53:D53"/>
    <mergeCell ref="E53:F53"/>
    <mergeCell ref="G53:H53"/>
    <mergeCell ref="A48:B48"/>
    <mergeCell ref="C48:D48"/>
    <mergeCell ref="E48:F48"/>
    <mergeCell ref="G48:H48"/>
    <mergeCell ref="A49:B49"/>
    <mergeCell ref="C49:D49"/>
    <mergeCell ref="E49:F49"/>
    <mergeCell ref="G49:H49"/>
    <mergeCell ref="A50:B50"/>
    <mergeCell ref="C50:D50"/>
    <mergeCell ref="E50:F50"/>
    <mergeCell ref="G50:H50"/>
    <mergeCell ref="A45:B45"/>
    <mergeCell ref="C45:D45"/>
    <mergeCell ref="E45:F45"/>
    <mergeCell ref="G45:H45"/>
    <mergeCell ref="A46:B46"/>
    <mergeCell ref="C46:D46"/>
    <mergeCell ref="E46:F46"/>
    <mergeCell ref="G46:H46"/>
    <mergeCell ref="A47:B47"/>
    <mergeCell ref="C47:D47"/>
    <mergeCell ref="E47:F47"/>
    <mergeCell ref="G47:H47"/>
    <mergeCell ref="A42:B42"/>
    <mergeCell ref="C42:D42"/>
    <mergeCell ref="E42:F42"/>
    <mergeCell ref="G42:H42"/>
    <mergeCell ref="A43:B43"/>
    <mergeCell ref="C43:D43"/>
    <mergeCell ref="E43:F43"/>
    <mergeCell ref="G43:H43"/>
    <mergeCell ref="A44:B44"/>
    <mergeCell ref="C44:D44"/>
    <mergeCell ref="E44:F44"/>
    <mergeCell ref="G44:H44"/>
    <mergeCell ref="A39:B39"/>
    <mergeCell ref="C39:D39"/>
    <mergeCell ref="E39:F39"/>
    <mergeCell ref="G39:H39"/>
    <mergeCell ref="A40:B40"/>
    <mergeCell ref="C40:D40"/>
    <mergeCell ref="E40:F40"/>
    <mergeCell ref="G40:H40"/>
    <mergeCell ref="A41:B41"/>
    <mergeCell ref="C41:D41"/>
    <mergeCell ref="E41:F41"/>
    <mergeCell ref="G41:H41"/>
    <mergeCell ref="A36:B36"/>
    <mergeCell ref="C36:D36"/>
    <mergeCell ref="E36:F36"/>
    <mergeCell ref="G36:H36"/>
    <mergeCell ref="A37:B37"/>
    <mergeCell ref="C37:D37"/>
    <mergeCell ref="E37:F37"/>
    <mergeCell ref="G37:H37"/>
    <mergeCell ref="A38:B38"/>
    <mergeCell ref="C38:D38"/>
    <mergeCell ref="E38:F38"/>
    <mergeCell ref="G38:H38"/>
    <mergeCell ref="K32:L32"/>
    <mergeCell ref="C33:H33"/>
    <mergeCell ref="K33:L33"/>
    <mergeCell ref="A34:B34"/>
    <mergeCell ref="C34:D34"/>
    <mergeCell ref="E34:F34"/>
    <mergeCell ref="G34:H34"/>
    <mergeCell ref="A35:B35"/>
    <mergeCell ref="C35:D35"/>
    <mergeCell ref="E35:F35"/>
    <mergeCell ref="G35:H35"/>
    <mergeCell ref="A27:E27"/>
    <mergeCell ref="G27:H27"/>
    <mergeCell ref="A28:E28"/>
    <mergeCell ref="G28:H28"/>
    <mergeCell ref="A29:E29"/>
    <mergeCell ref="G29:H29"/>
    <mergeCell ref="A30:H30"/>
    <mergeCell ref="A31:H31"/>
    <mergeCell ref="A32:B33"/>
    <mergeCell ref="C32:H32"/>
    <mergeCell ref="A22:E22"/>
    <mergeCell ref="G22:H22"/>
    <mergeCell ref="A23:E23"/>
    <mergeCell ref="G23:H23"/>
    <mergeCell ref="A24:E24"/>
    <mergeCell ref="G24:H24"/>
    <mergeCell ref="G25:H25"/>
    <mergeCell ref="A26:E26"/>
    <mergeCell ref="G26:H26"/>
    <mergeCell ref="B17:D17"/>
    <mergeCell ref="E17:F17"/>
    <mergeCell ref="G17:H17"/>
    <mergeCell ref="A18:H18"/>
    <mergeCell ref="A19:E19"/>
    <mergeCell ref="G19:H19"/>
    <mergeCell ref="A20:E20"/>
    <mergeCell ref="G20:H20"/>
    <mergeCell ref="A21:E21"/>
    <mergeCell ref="G21:H21"/>
    <mergeCell ref="B14:C14"/>
    <mergeCell ref="E14:F14"/>
    <mergeCell ref="G14:H14"/>
    <mergeCell ref="B15:C15"/>
    <mergeCell ref="E15:F15"/>
    <mergeCell ref="G15:H15"/>
    <mergeCell ref="B16:C16"/>
    <mergeCell ref="E16:F16"/>
    <mergeCell ref="G16:H16"/>
    <mergeCell ref="B11:C11"/>
    <mergeCell ref="E11:F11"/>
    <mergeCell ref="G11:H11"/>
    <mergeCell ref="B12:C12"/>
    <mergeCell ref="E12:F12"/>
    <mergeCell ref="G12:H12"/>
    <mergeCell ref="B13:C13"/>
    <mergeCell ref="E13:F13"/>
    <mergeCell ref="G13:H13"/>
    <mergeCell ref="A5:B5"/>
    <mergeCell ref="C5:H5"/>
    <mergeCell ref="A6:B6"/>
    <mergeCell ref="C6:H6"/>
    <mergeCell ref="A7:B7"/>
    <mergeCell ref="C7:H7"/>
    <mergeCell ref="A8:H8"/>
    <mergeCell ref="A9:H9"/>
    <mergeCell ref="A10:H10"/>
  </mergeCells>
  <conditionalFormatting sqref="E36:E56 G36:G56">
    <cfRule type="cellIs" dxfId="10" priority="3" stopIfTrue="1" operator="lessThan">
      <formula>0.0000001</formula>
    </cfRule>
  </conditionalFormatting>
  <conditionalFormatting sqref="E63:H63">
    <cfRule type="containsText" dxfId="9" priority="1" stopIfTrue="1" operator="containsText" text="ACHTUNG! Gewählte Stauhöhe zu gering!">
      <formula>NOT(ISERROR(SEARCH("ACHTUNG! Gewählte Stauhöhe zu gering!",E63)))</formula>
    </cfRule>
    <cfRule type="containsText" dxfId="8" priority="2" stopIfTrue="1" operator="containsText" text="Stauhöhe OK.">
      <formula>NOT(ISERROR(SEARCH("Stauhöhe OK.",E63)))</formula>
    </cfRule>
  </conditionalFormatting>
  <dataValidations count="14">
    <dataValidation allowBlank="1" showErrorMessage="1" promptTitle="Formel" prompt="Konsensmenge pro Tag [l/m²] * 3,6 * 24_x000a_" sqref="E70" xr:uid="{00000000-0002-0000-0800-000000000000}"/>
    <dataValidation allowBlank="1" showErrorMessage="1" promptTitle="Formel" prompt="As*kf*1000" sqref="E67:E69 J67:J69" xr:uid="{00000000-0002-0000-0800-000001000000}"/>
    <dataValidation allowBlank="1" showErrorMessage="1" promptTitle="Formel" prompt="Vs = (qs * Aent) / 1.000" sqref="E35" xr:uid="{00000000-0002-0000-0800-000002000000}"/>
    <dataValidation allowBlank="1" showErrorMessage="1" promptTitle="Formel" prompt="Vs = (qs * Aent) / 1.000_x000a_Speichervolumen = (Versickerungsrate * abflusswirksame Gesamtfläche) / 1.000" sqref="E34" xr:uid="{00000000-0002-0000-0800-000003000000}"/>
    <dataValidation allowBlank="1" showErrorMessage="1" prompt="aus ehyd-Datenbank" sqref="C34" xr:uid="{00000000-0002-0000-0800-000004000000}"/>
    <dataValidation allowBlank="1" showInputMessage="1" showErrorMessage="1" promptTitle="Formel" prompt="qv = kf * β * D * (As / Aent) * 60.000" sqref="S35" xr:uid="{00000000-0002-0000-0800-000005000000}"/>
    <dataValidation allowBlank="1" showErrorMessage="1" sqref="I31:I38 K35:K38 L31:N38 J31:K33 J34:J38" xr:uid="{00000000-0002-0000-0800-000006000000}"/>
    <dataValidation allowBlank="1" showInputMessage="1" showErrorMessage="1" promptTitle="An" prompt="Horizontalprojektion der jeweiligen Teilentwässerungsfläche in [m²]" sqref="E11" xr:uid="{00000000-0002-0000-0800-000007000000}"/>
    <dataValidation allowBlank="1" showErrorMessage="1" promptTitle="Formel" prompt="qv = kf * β * D * (As / Aent) * 60.000" sqref="R35" xr:uid="{00000000-0002-0000-0800-000008000000}"/>
    <dataValidation operator="equal" sqref="C33" xr:uid="{00000000-0002-0000-0800-000009000000}"/>
    <dataValidation allowBlank="1" showErrorMessage="1" promptTitle="Formel" prompt="Maximum von Vs" sqref="E60:F61" xr:uid="{00000000-0002-0000-0800-00000A000000}"/>
    <dataValidation type="decimal" operator="greaterThanOrEqual" allowBlank="1" showErrorMessage="1" error="Wert ist zu klein." sqref="E62" xr:uid="{00000000-0002-0000-0800-00000B000000}">
      <formula1>MAX(E61,G61)</formula1>
    </dataValidation>
    <dataValidation operator="greaterThanOrEqual" allowBlank="1" error="Wert ist zu klein." sqref="E63:H63" xr:uid="{00000000-0002-0000-0800-00000C000000}"/>
    <dataValidation allowBlank="1" showErrorMessage="1" promptTitle="Bodenart kf [m/s]" prompt="Kies 1*10-1 - 1*10-3_x000a_sandiger Kies 1*10-3 - 1*10-4_x000a_Mittelsand 1*10-3 bis 1*10-5_x000a_humoser Oberboden 1*10-3 - 1*10-6_x000a_schluffiger Sand 1*10-5 - 1*10-7_x000a_Schluff 1*10-6 - 1*10-9_x000a_toniger Schluff 1*10-7 - 1*10-11_x000a__x000a_" sqref="G19:H29" xr:uid="{00000000-0002-0000-0800-00000D000000}"/>
  </dataValidations>
  <pageMargins left="0.7" right="0.7" top="0.75" bottom="0.36458333333333331" header="0.3" footer="0.3"/>
  <pageSetup paperSize="9" orientation="portrait" horizontalDpi="4294967293" r:id="rId1"/>
  <headerFooter alignWithMargins="0">
    <oddHeader>&amp;C&amp;"Arial,Fett"&amp;16SICKERSCHACHT</oddHeader>
    <oddFooter>&amp;R&amp;8Seite &amp;P von 2</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1">
    <tabColor rgb="FF92D050"/>
  </sheetPr>
  <dimension ref="A1:W98"/>
  <sheetViews>
    <sheetView showGridLines="0" topLeftCell="A3" zoomScaleNormal="100" workbookViewId="0">
      <selection activeCell="J87" sqref="J87"/>
    </sheetView>
  </sheetViews>
  <sheetFormatPr baseColWidth="10" defaultRowHeight="12.75" x14ac:dyDescent="0.2"/>
  <cols>
    <col min="1" max="1" width="11.5703125" customWidth="1"/>
    <col min="2" max="2" width="10.42578125" style="1" customWidth="1"/>
    <col min="3" max="8" width="10.85546875" style="1" customWidth="1"/>
    <col min="9" max="9" width="12" style="1" bestFit="1" customWidth="1"/>
    <col min="10" max="10" width="39.85546875" style="1" customWidth="1"/>
    <col min="11" max="13" width="34.7109375" style="1" customWidth="1"/>
    <col min="14" max="14" width="10.7109375" customWidth="1"/>
    <col min="15" max="16" width="2.28515625" customWidth="1"/>
    <col min="17" max="17" width="28.42578125" style="22" customWidth="1"/>
    <col min="18" max="18" width="16.85546875" style="22" bestFit="1" customWidth="1"/>
    <col min="19" max="19" width="16.85546875" style="22" customWidth="1"/>
    <col min="20" max="21" width="16.28515625" customWidth="1"/>
  </cols>
  <sheetData>
    <row r="1" spans="1:19" ht="11.25" hidden="1" customHeight="1" x14ac:dyDescent="0.2">
      <c r="A1" s="66" t="s">
        <v>102</v>
      </c>
      <c r="B1" s="67"/>
      <c r="C1" s="67"/>
      <c r="D1" s="67"/>
      <c r="E1" s="67"/>
      <c r="F1" s="67"/>
      <c r="G1" s="67"/>
      <c r="H1" s="67"/>
      <c r="I1" s="67"/>
      <c r="J1" s="67"/>
      <c r="K1" s="67"/>
      <c r="L1" s="67"/>
      <c r="M1" s="67"/>
      <c r="N1" s="68"/>
    </row>
    <row r="2" spans="1:19" ht="7.5" hidden="1" customHeight="1" thickBot="1" x14ac:dyDescent="0.25">
      <c r="A2" s="91"/>
      <c r="B2" s="71"/>
      <c r="C2" s="71"/>
      <c r="D2" s="71"/>
      <c r="E2" s="71"/>
      <c r="F2" s="71"/>
      <c r="G2" s="71"/>
      <c r="H2" s="71"/>
      <c r="I2" s="71"/>
      <c r="J2" s="71"/>
      <c r="K2" s="71"/>
      <c r="L2" s="71"/>
      <c r="M2" s="71"/>
      <c r="N2" s="72"/>
    </row>
    <row r="3" spans="1:19" ht="0.75" customHeight="1" thickBot="1" x14ac:dyDescent="0.25">
      <c r="A3" s="96"/>
      <c r="B3" s="96"/>
      <c r="C3" s="96"/>
      <c r="D3" s="96"/>
      <c r="E3" s="96"/>
      <c r="F3" s="96"/>
      <c r="G3" s="96"/>
      <c r="H3" s="96"/>
      <c r="I3" s="85"/>
      <c r="J3" s="85"/>
      <c r="K3" s="85"/>
      <c r="L3" s="85"/>
      <c r="M3" s="85"/>
      <c r="N3" s="85"/>
      <c r="O3" s="22"/>
      <c r="P3" s="22"/>
    </row>
    <row r="4" spans="1:19" ht="9.75" customHeight="1" thickBot="1" x14ac:dyDescent="0.25">
      <c r="A4" s="85"/>
      <c r="B4" s="85"/>
      <c r="C4" s="85"/>
      <c r="D4" s="85"/>
      <c r="E4" s="85"/>
      <c r="F4" s="85"/>
      <c r="G4" s="85"/>
      <c r="H4" s="133" t="str">
        <f>Einführung!L4</f>
        <v>v01.15</v>
      </c>
      <c r="I4" s="85"/>
      <c r="J4" s="85"/>
      <c r="K4" s="85"/>
      <c r="L4" s="85"/>
      <c r="M4" s="85"/>
      <c r="N4" s="85"/>
      <c r="O4" s="22"/>
      <c r="P4" s="22"/>
    </row>
    <row r="5" spans="1:19" ht="13.5" customHeight="1" x14ac:dyDescent="0.2">
      <c r="A5" s="1014" t="s">
        <v>121</v>
      </c>
      <c r="B5" s="1015"/>
      <c r="C5" s="1016" t="str">
        <f>'Bemessungsregendaten, kfu'!E4</f>
        <v>Testprojekt</v>
      </c>
      <c r="D5" s="1016"/>
      <c r="E5" s="1016"/>
      <c r="F5" s="1016"/>
      <c r="G5" s="1016"/>
      <c r="H5" s="1017"/>
      <c r="I5" s="85"/>
      <c r="J5" s="85"/>
      <c r="K5" s="85"/>
      <c r="L5" s="85"/>
      <c r="M5" s="85"/>
      <c r="N5" s="85"/>
      <c r="O5" s="22"/>
      <c r="P5" s="22"/>
    </row>
    <row r="6" spans="1:19" ht="13.5" customHeight="1" x14ac:dyDescent="0.2">
      <c r="A6" s="1018" t="s">
        <v>119</v>
      </c>
      <c r="B6" s="1019"/>
      <c r="C6" s="1020" t="str">
        <f>'Bemessungsregendaten, kfu'!E5</f>
        <v>Max Mustermann</v>
      </c>
      <c r="D6" s="1020"/>
      <c r="E6" s="1020"/>
      <c r="F6" s="1020"/>
      <c r="G6" s="1020"/>
      <c r="H6" s="1021"/>
      <c r="K6" s="85"/>
      <c r="L6" s="85"/>
      <c r="M6" s="85"/>
      <c r="N6" s="85"/>
      <c r="O6" s="22"/>
      <c r="P6" s="22"/>
    </row>
    <row r="7" spans="1:19" ht="13.5" customHeight="1" thickBot="1" x14ac:dyDescent="0.25">
      <c r="A7" s="1022" t="s">
        <v>120</v>
      </c>
      <c r="B7" s="1023"/>
      <c r="C7" s="997" t="str">
        <f>'Bemessungsregendaten, kfu'!E6</f>
        <v>Testprojekt</v>
      </c>
      <c r="D7" s="997"/>
      <c r="E7" s="997"/>
      <c r="F7" s="997"/>
      <c r="G7" s="997"/>
      <c r="H7" s="998"/>
      <c r="K7" s="85"/>
      <c r="L7" s="85"/>
      <c r="M7" s="85"/>
      <c r="N7" s="85"/>
      <c r="O7" s="22"/>
      <c r="P7" s="22"/>
    </row>
    <row r="8" spans="1:19" ht="4.5" customHeight="1" thickBot="1" x14ac:dyDescent="0.25">
      <c r="A8" s="1003"/>
      <c r="B8" s="1003"/>
      <c r="C8" s="1003"/>
      <c r="D8" s="1003"/>
      <c r="E8" s="1003"/>
      <c r="F8" s="1003"/>
      <c r="G8" s="1003"/>
      <c r="H8" s="1003"/>
      <c r="I8" s="54"/>
      <c r="J8" s="54"/>
      <c r="K8" s="54"/>
      <c r="L8" s="54"/>
      <c r="M8" s="54"/>
      <c r="N8" s="54"/>
      <c r="O8" s="22"/>
      <c r="P8" s="22"/>
    </row>
    <row r="9" spans="1:19" ht="11.85" customHeight="1" thickBot="1" x14ac:dyDescent="0.25">
      <c r="A9" s="973" t="s">
        <v>106</v>
      </c>
      <c r="B9" s="974"/>
      <c r="C9" s="974"/>
      <c r="D9" s="974"/>
      <c r="E9" s="974"/>
      <c r="F9" s="974"/>
      <c r="G9" s="974"/>
      <c r="H9" s="975"/>
      <c r="I9" s="55"/>
      <c r="J9" s="55"/>
      <c r="K9" s="55"/>
      <c r="L9" s="55"/>
      <c r="M9" s="55"/>
      <c r="N9" s="55"/>
      <c r="O9" s="23"/>
    </row>
    <row r="10" spans="1:19" ht="13.5" thickBot="1" x14ac:dyDescent="0.25">
      <c r="A10" s="999" t="s">
        <v>141</v>
      </c>
      <c r="B10" s="1000"/>
      <c r="C10" s="1000"/>
      <c r="D10" s="1000"/>
      <c r="E10" s="1000"/>
      <c r="F10" s="1000"/>
      <c r="G10" s="1000"/>
      <c r="H10" s="1001"/>
      <c r="I10" s="54"/>
      <c r="J10" s="54"/>
      <c r="K10" s="54"/>
      <c r="L10" s="54"/>
      <c r="M10" s="54"/>
      <c r="N10" s="54"/>
    </row>
    <row r="11" spans="1:19" s="32" customFormat="1" ht="25.5" customHeight="1" thickBot="1" x14ac:dyDescent="0.25">
      <c r="A11" s="162" t="s">
        <v>260</v>
      </c>
      <c r="B11" s="1026" t="s">
        <v>23</v>
      </c>
      <c r="C11" s="1027"/>
      <c r="D11" s="360" t="s">
        <v>127</v>
      </c>
      <c r="E11" s="1028" t="s">
        <v>123</v>
      </c>
      <c r="F11" s="1029"/>
      <c r="G11" s="1024" t="s">
        <v>124</v>
      </c>
      <c r="H11" s="1025"/>
      <c r="I11" s="51"/>
      <c r="J11" s="56"/>
      <c r="K11" s="56"/>
      <c r="L11" s="56"/>
      <c r="M11" s="56"/>
      <c r="N11" s="56"/>
      <c r="Q11" s="249"/>
      <c r="R11" s="249"/>
      <c r="S11" s="249"/>
    </row>
    <row r="12" spans="1:19" s="32" customFormat="1" ht="10.5" customHeight="1" x14ac:dyDescent="0.2">
      <c r="A12" s="315" t="s">
        <v>57</v>
      </c>
      <c r="B12" s="1032" t="str">
        <f>IF(ASI!B15="","",ASI!B15)</f>
        <v>Asphaltfläche</v>
      </c>
      <c r="C12" s="1030"/>
      <c r="D12" s="394">
        <f>IF(ASI!G15="","",ASI!G15)</f>
        <v>1</v>
      </c>
      <c r="E12" s="1030">
        <f>IF(ASI!E15="","",ASI!E15)</f>
        <v>2119</v>
      </c>
      <c r="F12" s="1031"/>
      <c r="G12" s="1035">
        <f>ASI!I15/ASI!$H$34</f>
        <v>1059.5</v>
      </c>
      <c r="H12" s="1036"/>
      <c r="I12" s="52"/>
      <c r="J12" s="56"/>
      <c r="K12" s="56"/>
      <c r="L12" s="56"/>
      <c r="M12" s="56"/>
      <c r="N12" s="56"/>
      <c r="Q12" s="249"/>
      <c r="R12" s="249"/>
      <c r="S12" s="249"/>
    </row>
    <row r="13" spans="1:19" s="32" customFormat="1" ht="10.5" customHeight="1" x14ac:dyDescent="0.2">
      <c r="A13" s="149" t="s">
        <v>58</v>
      </c>
      <c r="B13" s="986" t="str">
        <f>IF(ASI!B16="","",ASI!B16)</f>
        <v/>
      </c>
      <c r="C13" s="987"/>
      <c r="D13" s="361" t="str">
        <f>IF(ASI!G16="","",ASI!G16)</f>
        <v/>
      </c>
      <c r="E13" s="987" t="str">
        <f>IF(ASI!E16="","",ASI!E16)</f>
        <v/>
      </c>
      <c r="F13" s="1002"/>
      <c r="G13" s="992">
        <f>ASI!I16/ASI!$H$34</f>
        <v>0</v>
      </c>
      <c r="H13" s="987"/>
      <c r="I13" s="52"/>
      <c r="J13" s="56"/>
      <c r="K13" s="56"/>
      <c r="L13" s="56"/>
      <c r="M13" s="56"/>
      <c r="N13" s="56"/>
      <c r="Q13" s="249"/>
      <c r="R13" s="249"/>
      <c r="S13" s="249"/>
    </row>
    <row r="14" spans="1:19" s="32" customFormat="1" ht="10.5" customHeight="1" x14ac:dyDescent="0.2">
      <c r="A14" s="149" t="s">
        <v>59</v>
      </c>
      <c r="B14" s="986" t="str">
        <f>IF(ASI!B17="","",ASI!B17)</f>
        <v/>
      </c>
      <c r="C14" s="987"/>
      <c r="D14" s="361" t="str">
        <f>IF(ASI!G17="","",ASI!G17)</f>
        <v/>
      </c>
      <c r="E14" s="987" t="str">
        <f>IF(ASI!E17="","",ASI!E17)</f>
        <v/>
      </c>
      <c r="F14" s="1002"/>
      <c r="G14" s="992">
        <f>ASI!I17/ASI!$H$34</f>
        <v>0</v>
      </c>
      <c r="H14" s="987"/>
      <c r="I14" s="52"/>
      <c r="J14" s="56"/>
      <c r="K14" s="56"/>
      <c r="L14" s="56"/>
      <c r="M14" s="56"/>
      <c r="N14" s="56"/>
      <c r="Q14" s="249"/>
      <c r="R14" s="249"/>
      <c r="S14" s="249"/>
    </row>
    <row r="15" spans="1:19" s="32" customFormat="1" ht="10.5" customHeight="1" x14ac:dyDescent="0.2">
      <c r="A15" s="149" t="s">
        <v>60</v>
      </c>
      <c r="B15" s="986" t="str">
        <f>IF(ASI!B18="","",ASI!B18)</f>
        <v/>
      </c>
      <c r="C15" s="987"/>
      <c r="D15" s="361" t="str">
        <f>IF(ASI!G18="","",ASI!G18)</f>
        <v/>
      </c>
      <c r="E15" s="987" t="str">
        <f>IF(ASI!E18="","",ASI!E18)</f>
        <v/>
      </c>
      <c r="F15" s="1002"/>
      <c r="G15" s="992">
        <f>ASI!I18/ASI!$H$34</f>
        <v>0</v>
      </c>
      <c r="H15" s="987"/>
      <c r="I15" s="52"/>
      <c r="J15" s="56"/>
      <c r="K15" s="56"/>
      <c r="L15" s="56"/>
      <c r="M15" s="56"/>
      <c r="N15" s="56"/>
      <c r="Q15" s="249"/>
      <c r="R15" s="249"/>
      <c r="S15" s="249"/>
    </row>
    <row r="16" spans="1:19" s="32" customFormat="1" ht="10.5" customHeight="1" thickBot="1" x14ac:dyDescent="0.25">
      <c r="A16" s="359" t="s">
        <v>61</v>
      </c>
      <c r="B16" s="990" t="str">
        <f>IF(ASI!B19="","",ASI!B19)</f>
        <v/>
      </c>
      <c r="C16" s="991"/>
      <c r="D16" s="362" t="str">
        <f>IF(ASI!G19="","",ASI!G19)</f>
        <v/>
      </c>
      <c r="E16" s="991" t="str">
        <f>IF(ASI!E19="","",ASI!E19)</f>
        <v/>
      </c>
      <c r="F16" s="1007"/>
      <c r="G16" s="1112">
        <f>ASI!I19/ASI!$H$34</f>
        <v>0</v>
      </c>
      <c r="H16" s="991"/>
      <c r="I16" s="52"/>
      <c r="J16" s="56"/>
      <c r="K16" s="56"/>
      <c r="L16" s="56"/>
      <c r="M16" s="56"/>
      <c r="N16" s="56"/>
      <c r="Q16" s="249"/>
      <c r="R16" s="249"/>
      <c r="S16" s="249"/>
    </row>
    <row r="17" spans="1:23" ht="13.5" thickBot="1" x14ac:dyDescent="0.25">
      <c r="A17" s="150"/>
      <c r="B17" s="1128" t="s">
        <v>128</v>
      </c>
      <c r="C17" s="1129"/>
      <c r="D17" s="1130"/>
      <c r="E17" s="1131">
        <f>SUM(E12:F16)</f>
        <v>2119</v>
      </c>
      <c r="F17" s="1130"/>
      <c r="G17" s="993">
        <f>SUM(G12:H16)</f>
        <v>1059.5</v>
      </c>
      <c r="H17" s="994"/>
      <c r="I17" s="53"/>
      <c r="J17" s="54"/>
      <c r="K17" s="54"/>
      <c r="L17" s="12"/>
      <c r="M17" s="12"/>
      <c r="N17" s="23"/>
    </row>
    <row r="18" spans="1:23" ht="0.75" customHeight="1" thickBot="1" x14ac:dyDescent="0.25">
      <c r="A18" s="1134"/>
      <c r="B18" s="1135"/>
      <c r="C18" s="1135"/>
      <c r="D18" s="1135"/>
      <c r="E18" s="1135"/>
      <c r="F18" s="1135"/>
      <c r="G18" s="1135"/>
      <c r="H18" s="1136"/>
      <c r="I18" s="53"/>
      <c r="J18" s="54"/>
      <c r="K18" s="54"/>
      <c r="L18" s="12"/>
      <c r="M18" s="12"/>
      <c r="N18" s="23"/>
    </row>
    <row r="19" spans="1:23" ht="13.5" customHeight="1" x14ac:dyDescent="0.2">
      <c r="A19" s="1033" t="s">
        <v>108</v>
      </c>
      <c r="B19" s="1034"/>
      <c r="C19" s="1034"/>
      <c r="D19" s="1034"/>
      <c r="E19" s="1034"/>
      <c r="F19" s="153" t="s">
        <v>115</v>
      </c>
      <c r="G19" s="1010">
        <f>IF(ASI!J48="","",ASI!J48)</f>
        <v>3.0000000000000001E-3</v>
      </c>
      <c r="H19" s="1011"/>
      <c r="I19" s="57"/>
      <c r="J19" s="57"/>
      <c r="K19" s="57"/>
      <c r="L19" s="57"/>
      <c r="M19" s="57"/>
      <c r="N19" s="57"/>
      <c r="O19" s="23"/>
    </row>
    <row r="20" spans="1:23" ht="11.85" customHeight="1" x14ac:dyDescent="0.2">
      <c r="A20" s="1008" t="s">
        <v>51</v>
      </c>
      <c r="B20" s="1009"/>
      <c r="C20" s="1009"/>
      <c r="D20" s="1009"/>
      <c r="E20" s="1009"/>
      <c r="F20" s="154" t="s">
        <v>66</v>
      </c>
      <c r="G20" s="981">
        <f>IF(ASI!J49="","",ASI!J49)</f>
        <v>1</v>
      </c>
      <c r="H20" s="982"/>
      <c r="I20" s="57"/>
      <c r="J20" s="57"/>
      <c r="K20" s="57"/>
      <c r="L20" s="57"/>
      <c r="M20" s="57"/>
      <c r="N20" s="57"/>
      <c r="O20" s="23"/>
      <c r="P20" s="22"/>
      <c r="R20" s="24"/>
      <c r="S20" s="24"/>
      <c r="T20" s="24"/>
      <c r="U20" s="24"/>
    </row>
    <row r="21" spans="1:23" ht="11.85" customHeight="1" x14ac:dyDescent="0.2">
      <c r="A21" s="964" t="s">
        <v>211</v>
      </c>
      <c r="B21" s="965"/>
      <c r="C21" s="965"/>
      <c r="D21" s="965"/>
      <c r="E21" s="965"/>
      <c r="F21" s="155"/>
      <c r="G21" s="969">
        <f>IF(ASI!J50="","",ASI!J50)</f>
        <v>0.05</v>
      </c>
      <c r="H21" s="970"/>
      <c r="I21" s="12"/>
      <c r="J21" s="12"/>
      <c r="K21" s="12"/>
      <c r="L21" s="12"/>
      <c r="M21" s="12"/>
      <c r="N21" s="23"/>
      <c r="O21" s="23"/>
      <c r="P21" s="22"/>
      <c r="R21" s="24"/>
      <c r="S21" s="24"/>
      <c r="T21" s="24"/>
      <c r="U21" s="24"/>
    </row>
    <row r="22" spans="1:23" ht="11.85" customHeight="1" x14ac:dyDescent="0.2">
      <c r="A22" s="1008" t="s">
        <v>228</v>
      </c>
      <c r="B22" s="1009"/>
      <c r="C22" s="1009"/>
      <c r="D22" s="1009"/>
      <c r="E22" s="1009"/>
      <c r="F22" s="156" t="s">
        <v>116</v>
      </c>
      <c r="G22" s="962">
        <f>IF(ASI!I23="","",ASI!I23)</f>
        <v>1E-4</v>
      </c>
      <c r="H22" s="963"/>
      <c r="I22" s="57"/>
      <c r="J22" s="57"/>
      <c r="K22" s="57"/>
      <c r="L22" s="57"/>
      <c r="M22" s="57"/>
      <c r="N22" s="57"/>
      <c r="O22" s="23"/>
    </row>
    <row r="23" spans="1:23" ht="11.85" customHeight="1" x14ac:dyDescent="0.2">
      <c r="A23" s="964" t="s">
        <v>229</v>
      </c>
      <c r="B23" s="965"/>
      <c r="C23" s="965"/>
      <c r="D23" s="965"/>
      <c r="E23" s="966"/>
      <c r="F23" s="154"/>
      <c r="G23" s="981">
        <f>IF(ASI!J52="","",ASI!J52)</f>
        <v>1</v>
      </c>
      <c r="H23" s="982"/>
      <c r="I23" s="57"/>
      <c r="J23" s="57"/>
      <c r="K23" s="57"/>
      <c r="L23" s="57"/>
      <c r="M23" s="57"/>
      <c r="N23" s="57"/>
      <c r="O23" s="23"/>
      <c r="P23" s="22"/>
      <c r="R23" s="24"/>
      <c r="S23" s="24"/>
      <c r="T23" s="24"/>
      <c r="U23" s="24"/>
    </row>
    <row r="24" spans="1:23" ht="11.85" customHeight="1" x14ac:dyDescent="0.2">
      <c r="A24" s="964" t="s">
        <v>131</v>
      </c>
      <c r="B24" s="965"/>
      <c r="C24" s="965"/>
      <c r="D24" s="965"/>
      <c r="E24" s="966"/>
      <c r="F24" s="154" t="s">
        <v>132</v>
      </c>
      <c r="G24" s="969">
        <f>IF(ASI!J53="","",ASI!J53)</f>
        <v>1.5</v>
      </c>
      <c r="H24" s="970"/>
      <c r="I24" s="260">
        <f>G24^2*PI()/4</f>
        <v>1.7671458676442586</v>
      </c>
      <c r="J24" s="261" t="s">
        <v>265</v>
      </c>
      <c r="K24" s="12"/>
      <c r="L24" s="12"/>
      <c r="M24" s="12"/>
      <c r="N24" s="23"/>
      <c r="O24" s="23"/>
      <c r="P24" s="22"/>
      <c r="R24" s="24"/>
      <c r="S24" s="24"/>
      <c r="T24" s="24"/>
      <c r="U24" s="24"/>
    </row>
    <row r="25" spans="1:23" ht="11.85" customHeight="1" x14ac:dyDescent="0.2">
      <c r="A25" s="158" t="s">
        <v>109</v>
      </c>
      <c r="B25" s="159"/>
      <c r="C25" s="159"/>
      <c r="D25" s="159"/>
      <c r="E25" s="160"/>
      <c r="F25" s="155" t="s">
        <v>212</v>
      </c>
      <c r="G25" s="969">
        <f>IF(ASI!J54="","",ASI!J54)</f>
        <v>0.09</v>
      </c>
      <c r="H25" s="970"/>
      <c r="I25" s="316">
        <f>(G24+2*G25)^2*PI()/4</f>
        <v>2.2167077763729579</v>
      </c>
      <c r="J25" s="261" t="s">
        <v>266</v>
      </c>
      <c r="K25" s="12"/>
      <c r="L25" s="12"/>
      <c r="M25" s="12"/>
      <c r="N25" s="23"/>
      <c r="O25" s="23"/>
      <c r="P25" s="22"/>
      <c r="R25" s="24"/>
      <c r="S25" s="24"/>
      <c r="T25" s="24"/>
      <c r="U25" s="24"/>
    </row>
    <row r="26" spans="1:23" ht="11.85" customHeight="1" x14ac:dyDescent="0.2">
      <c r="A26" s="964" t="s">
        <v>155</v>
      </c>
      <c r="B26" s="965"/>
      <c r="C26" s="965"/>
      <c r="D26" s="965"/>
      <c r="E26" s="966"/>
      <c r="F26" s="155"/>
      <c r="G26" s="969">
        <v>0.5</v>
      </c>
      <c r="H26" s="970"/>
      <c r="I26" s="12"/>
      <c r="J26" s="12"/>
      <c r="K26" s="12"/>
      <c r="L26" s="12"/>
      <c r="M26" s="12"/>
      <c r="N26" s="23"/>
      <c r="O26" s="23"/>
      <c r="P26" s="22"/>
      <c r="R26" s="24"/>
      <c r="S26" s="24"/>
      <c r="T26" s="24"/>
      <c r="U26" s="24"/>
    </row>
    <row r="27" spans="1:23" ht="11.85" customHeight="1" x14ac:dyDescent="0.2">
      <c r="A27" s="964" t="s">
        <v>214</v>
      </c>
      <c r="B27" s="965"/>
      <c r="C27" s="965"/>
      <c r="D27" s="965"/>
      <c r="E27" s="966"/>
      <c r="F27" s="155"/>
      <c r="G27" s="967">
        <f>IF(ASI!J56="","",ASI!J56)</f>
        <v>25</v>
      </c>
      <c r="H27" s="968"/>
      <c r="I27" s="12"/>
      <c r="J27" s="12"/>
      <c r="K27" s="12"/>
      <c r="L27" s="12"/>
      <c r="M27" s="12"/>
      <c r="N27" s="23"/>
      <c r="O27" s="23"/>
      <c r="P27" s="22"/>
      <c r="R27" s="24"/>
      <c r="S27" s="24"/>
      <c r="T27" s="24"/>
      <c r="U27" s="24"/>
    </row>
    <row r="28" spans="1:23" ht="11.85" customHeight="1" x14ac:dyDescent="0.2">
      <c r="A28" s="964" t="s">
        <v>147</v>
      </c>
      <c r="B28" s="965"/>
      <c r="C28" s="965"/>
      <c r="D28" s="965"/>
      <c r="E28" s="966"/>
      <c r="F28" s="155" t="s">
        <v>148</v>
      </c>
      <c r="G28" s="969">
        <f>IF(ASI!H37/100="","",ASI!H37/100)</f>
        <v>0.87</v>
      </c>
      <c r="H28" s="970"/>
      <c r="I28" s="69"/>
      <c r="J28" s="69"/>
      <c r="K28" s="69"/>
      <c r="L28" s="69"/>
      <c r="M28" s="69"/>
      <c r="N28" s="69"/>
      <c r="O28" s="23"/>
      <c r="P28" s="22"/>
      <c r="R28" s="24"/>
      <c r="S28" s="24"/>
      <c r="T28" s="24"/>
      <c r="U28" s="24"/>
    </row>
    <row r="29" spans="1:23" ht="12.75" customHeight="1" thickBot="1" x14ac:dyDescent="0.3">
      <c r="A29" s="988" t="s">
        <v>285</v>
      </c>
      <c r="B29" s="989"/>
      <c r="C29" s="989"/>
      <c r="D29" s="989"/>
      <c r="E29" s="989"/>
      <c r="F29" s="157" t="s">
        <v>286</v>
      </c>
      <c r="G29" s="986">
        <f>ASI!J58</f>
        <v>18</v>
      </c>
      <c r="H29" s="987"/>
      <c r="I29" s="70"/>
      <c r="J29" s="70"/>
      <c r="K29" s="70"/>
      <c r="L29" s="70"/>
      <c r="M29" s="70"/>
      <c r="N29" s="70"/>
      <c r="O29" s="23"/>
      <c r="P29" s="22"/>
      <c r="R29" s="24"/>
      <c r="S29" s="24"/>
      <c r="T29" s="24"/>
      <c r="U29" s="24"/>
    </row>
    <row r="30" spans="1:23" ht="3.75" customHeight="1" thickBot="1" x14ac:dyDescent="0.25">
      <c r="A30" s="934"/>
      <c r="B30" s="935"/>
      <c r="C30" s="935"/>
      <c r="D30" s="935"/>
      <c r="E30" s="935"/>
      <c r="F30" s="935"/>
      <c r="G30" s="935"/>
      <c r="H30" s="1143"/>
      <c r="I30" s="60"/>
      <c r="J30" s="60"/>
      <c r="K30" s="60"/>
      <c r="L30" s="60"/>
      <c r="M30" s="60"/>
      <c r="N30" s="60"/>
      <c r="O30" s="23"/>
    </row>
    <row r="31" spans="1:23" ht="21.75" customHeight="1" thickBot="1" x14ac:dyDescent="0.25">
      <c r="A31" s="973" t="s">
        <v>68</v>
      </c>
      <c r="B31" s="974"/>
      <c r="C31" s="974"/>
      <c r="D31" s="974"/>
      <c r="E31" s="974"/>
      <c r="F31" s="974"/>
      <c r="G31" s="974"/>
      <c r="H31" s="975"/>
      <c r="I31" s="55"/>
      <c r="J31" s="55"/>
      <c r="K31" s="55"/>
      <c r="L31" s="55"/>
      <c r="M31" s="55"/>
      <c r="N31" s="55"/>
      <c r="O31" s="23"/>
    </row>
    <row r="32" spans="1:23" s="32" customFormat="1" ht="9.9499999999999993" customHeight="1" x14ac:dyDescent="0.2">
      <c r="A32" s="1118" t="s">
        <v>52</v>
      </c>
      <c r="B32" s="1119"/>
      <c r="C32" s="1109" t="s">
        <v>52</v>
      </c>
      <c r="D32" s="1110"/>
      <c r="E32" s="1110"/>
      <c r="F32" s="1110"/>
      <c r="G32" s="1110"/>
      <c r="H32" s="1111"/>
      <c r="I32" s="44"/>
      <c r="J32" s="44"/>
      <c r="K32" s="912"/>
      <c r="L32" s="912"/>
      <c r="M32" s="44"/>
      <c r="N32" s="44"/>
      <c r="Q32" s="249"/>
      <c r="R32" s="249"/>
      <c r="S32" s="249"/>
      <c r="T32" s="34"/>
      <c r="U32" s="34"/>
      <c r="V32" s="34"/>
      <c r="W32" s="34"/>
    </row>
    <row r="33" spans="1:21" s="32" customFormat="1" ht="12" customHeight="1" x14ac:dyDescent="0.2">
      <c r="A33" s="1120"/>
      <c r="B33" s="1121"/>
      <c r="C33" s="976">
        <f>ASI!J29</f>
        <v>5</v>
      </c>
      <c r="D33" s="977"/>
      <c r="E33" s="977"/>
      <c r="F33" s="977"/>
      <c r="G33" s="977"/>
      <c r="H33" s="978"/>
      <c r="I33" s="45"/>
      <c r="J33" s="46"/>
      <c r="K33" s="913"/>
      <c r="L33" s="913"/>
      <c r="M33" s="45"/>
      <c r="N33" s="45"/>
      <c r="O33" s="41"/>
      <c r="Q33" s="250"/>
      <c r="R33" s="251" t="s">
        <v>152</v>
      </c>
      <c r="S33" s="251" t="s">
        <v>153</v>
      </c>
      <c r="T33" s="246" t="s">
        <v>151</v>
      </c>
      <c r="U33" s="246"/>
    </row>
    <row r="34" spans="1:21" s="39" customFormat="1" ht="22.5" customHeight="1" x14ac:dyDescent="0.2">
      <c r="A34" s="1114" t="s">
        <v>1</v>
      </c>
      <c r="B34" s="1115"/>
      <c r="C34" s="979" t="s">
        <v>114</v>
      </c>
      <c r="D34" s="980"/>
      <c r="E34" s="980" t="s">
        <v>252</v>
      </c>
      <c r="F34" s="980"/>
      <c r="G34" s="980" t="s">
        <v>264</v>
      </c>
      <c r="H34" s="1108"/>
      <c r="I34" s="55"/>
      <c r="J34" s="55"/>
      <c r="K34" s="55"/>
      <c r="L34" s="55"/>
      <c r="M34" s="55"/>
      <c r="N34" s="55"/>
      <c r="O34" s="38"/>
      <c r="P34" s="38"/>
      <c r="Q34" s="252" t="s">
        <v>2</v>
      </c>
      <c r="R34" s="253" t="s">
        <v>171</v>
      </c>
      <c r="S34" s="253" t="s">
        <v>172</v>
      </c>
      <c r="T34" s="247" t="s">
        <v>173</v>
      </c>
      <c r="U34" s="247" t="s">
        <v>174</v>
      </c>
    </row>
    <row r="35" spans="1:21" s="32" customFormat="1" ht="9.9499999999999993" customHeight="1" x14ac:dyDescent="0.2">
      <c r="A35" s="1116" t="s">
        <v>72</v>
      </c>
      <c r="B35" s="1117"/>
      <c r="C35" s="1107">
        <v>0</v>
      </c>
      <c r="D35" s="972"/>
      <c r="E35" s="971">
        <v>0</v>
      </c>
      <c r="F35" s="972"/>
      <c r="G35" s="971">
        <v>0</v>
      </c>
      <c r="H35" s="1113"/>
      <c r="I35" s="55"/>
      <c r="J35" s="55"/>
      <c r="K35" s="55"/>
      <c r="L35" s="55"/>
      <c r="M35" s="55"/>
      <c r="N35" s="55"/>
      <c r="O35" s="36"/>
      <c r="P35" s="36"/>
      <c r="Q35" s="254">
        <v>0</v>
      </c>
      <c r="R35" s="255">
        <v>0</v>
      </c>
      <c r="S35" s="255">
        <v>0</v>
      </c>
      <c r="T35" s="248">
        <v>0</v>
      </c>
      <c r="U35" s="248">
        <v>0</v>
      </c>
    </row>
    <row r="36" spans="1:21" s="32" customFormat="1" ht="9.9499999999999993" customHeight="1" x14ac:dyDescent="0.2">
      <c r="A36" s="956" t="s">
        <v>3</v>
      </c>
      <c r="B36" s="957"/>
      <c r="C36" s="958">
        <f>HLOOKUP($C$33,'Bemessungsregendaten, kfu'!$D$20:$N$41,2,0)</f>
        <v>11.9</v>
      </c>
      <c r="D36" s="959"/>
      <c r="E36" s="960">
        <f>IF((T36/1000)*$G$17&gt;0, (T36/1000)*$G$17, 0)</f>
        <v>11.812834359560085</v>
      </c>
      <c r="F36" s="961"/>
      <c r="G36" s="960">
        <f t="shared" ref="G36:G56" si="0">(U36/1000)*$G$17</f>
        <v>12.338050000000001</v>
      </c>
      <c r="H36" s="961"/>
      <c r="I36" s="55"/>
      <c r="J36" s="55"/>
      <c r="K36" s="55"/>
      <c r="L36" s="55"/>
      <c r="M36" s="55"/>
      <c r="N36" s="55"/>
      <c r="Q36" s="256">
        <v>5</v>
      </c>
      <c r="R36" s="255">
        <f>Q36*($G$19/2)*$G$20*((($G$24^2*PI())/4)/$G$17)*60000</f>
        <v>0.75055747092016656</v>
      </c>
      <c r="S36" s="255">
        <f t="shared" ref="S36:S56" si="1">Q36*($G$22*$G$23)/2*($G$29/$G$17)*60000</f>
        <v>0.25483718735252481</v>
      </c>
      <c r="T36" s="248">
        <f>IF((C36-R36)&gt;0, C36-R36, 0)</f>
        <v>11.149442529079835</v>
      </c>
      <c r="U36" s="248">
        <f>IF((C36-S36)&gt;0, C36-S36, 0)</f>
        <v>11.645162812647476</v>
      </c>
    </row>
    <row r="37" spans="1:21" s="32" customFormat="1" ht="9.9499999999999993" customHeight="1" x14ac:dyDescent="0.2">
      <c r="A37" s="956" t="s">
        <v>176</v>
      </c>
      <c r="B37" s="957"/>
      <c r="C37" s="958">
        <f>HLOOKUP($C$33,'Bemessungsregendaten, kfu'!$D$20:$N$41,3,0)</f>
        <v>15</v>
      </c>
      <c r="D37" s="959"/>
      <c r="E37" s="960">
        <f t="shared" ref="E37:E56" si="2">(T37/1000)*$G$17</f>
        <v>14.302068719120166</v>
      </c>
      <c r="F37" s="961"/>
      <c r="G37" s="960">
        <f t="shared" si="0"/>
        <v>15.352499999999999</v>
      </c>
      <c r="H37" s="961"/>
      <c r="I37" s="55"/>
      <c r="J37" s="55"/>
      <c r="K37" s="55"/>
      <c r="L37" s="55"/>
      <c r="M37" s="55"/>
      <c r="N37" s="55"/>
      <c r="Q37" s="256">
        <v>10</v>
      </c>
      <c r="R37" s="255">
        <f t="shared" ref="R37:R55" si="3">Q37*($G$19/2)*$G$20*((($G$24^2*PI())/4)/$G$17)*60000</f>
        <v>1.5011149418403331</v>
      </c>
      <c r="S37" s="255">
        <f t="shared" si="1"/>
        <v>0.50967437470504962</v>
      </c>
      <c r="T37" s="248">
        <f t="shared" ref="T37:T56" si="4">IF((C37-R37)&gt;0, C37-R37, 0)</f>
        <v>13.498885058159667</v>
      </c>
      <c r="U37" s="248">
        <f t="shared" ref="U37:U56" si="5">IF((C37-S37)&gt;0, C37-S37, 0)</f>
        <v>14.49032562529495</v>
      </c>
    </row>
    <row r="38" spans="1:21" s="32" customFormat="1" ht="9.9499999999999993" customHeight="1" x14ac:dyDescent="0.2">
      <c r="A38" s="956" t="s">
        <v>4</v>
      </c>
      <c r="B38" s="957"/>
      <c r="C38" s="958">
        <f>HLOOKUP($C$33,'Bemessungsregendaten, kfu'!$D$20:$N$41,4,0)</f>
        <v>17.2</v>
      </c>
      <c r="D38" s="959"/>
      <c r="E38" s="960">
        <f>(T38/1000)*$G$17</f>
        <v>15.837753078680251</v>
      </c>
      <c r="F38" s="961"/>
      <c r="G38" s="960">
        <f t="shared" si="0"/>
        <v>17.413399999999999</v>
      </c>
      <c r="H38" s="961"/>
      <c r="I38" s="55"/>
      <c r="J38" s="55"/>
      <c r="K38" s="55"/>
      <c r="L38" s="55"/>
      <c r="M38" s="55"/>
      <c r="N38" s="55"/>
      <c r="Q38" s="256">
        <v>15</v>
      </c>
      <c r="R38" s="255">
        <f t="shared" si="3"/>
        <v>2.2516724127604992</v>
      </c>
      <c r="S38" s="255">
        <f t="shared" si="1"/>
        <v>0.76451156205757442</v>
      </c>
      <c r="T38" s="248">
        <f t="shared" si="4"/>
        <v>14.948327587239501</v>
      </c>
      <c r="U38" s="248">
        <f t="shared" si="5"/>
        <v>16.435488437942425</v>
      </c>
    </row>
    <row r="39" spans="1:21" s="32" customFormat="1" ht="9.9499999999999993" customHeight="1" x14ac:dyDescent="0.2">
      <c r="A39" s="956" t="s">
        <v>5</v>
      </c>
      <c r="B39" s="957"/>
      <c r="C39" s="958">
        <f>HLOOKUP($C$33,'Bemessungsregendaten, kfu'!$D$20:$N$41,5,0)</f>
        <v>18.899999999999999</v>
      </c>
      <c r="D39" s="959"/>
      <c r="E39" s="960">
        <f t="shared" si="2"/>
        <v>16.84368743824033</v>
      </c>
      <c r="F39" s="961"/>
      <c r="G39" s="960">
        <f t="shared" si="0"/>
        <v>18.94455</v>
      </c>
      <c r="H39" s="961"/>
      <c r="I39" s="55"/>
      <c r="J39" s="55"/>
      <c r="K39" s="55"/>
      <c r="L39" s="55"/>
      <c r="M39" s="55"/>
      <c r="N39" s="55"/>
      <c r="Q39" s="256">
        <v>20</v>
      </c>
      <c r="R39" s="255">
        <f t="shared" si="3"/>
        <v>3.0022298836806662</v>
      </c>
      <c r="S39" s="255">
        <f t="shared" si="1"/>
        <v>1.0193487494100992</v>
      </c>
      <c r="T39" s="248">
        <f t="shared" si="4"/>
        <v>15.897770116319332</v>
      </c>
      <c r="U39" s="248">
        <f t="shared" si="5"/>
        <v>17.880651250589899</v>
      </c>
    </row>
    <row r="40" spans="1:21" s="32" customFormat="1" ht="9.9499999999999993" customHeight="1" x14ac:dyDescent="0.2">
      <c r="A40" s="956" t="s">
        <v>7</v>
      </c>
      <c r="B40" s="957"/>
      <c r="C40" s="958">
        <f>HLOOKUP($C$33,'Bemessungsregendaten, kfu'!$D$20:$N$41,6,0)</f>
        <v>21.6</v>
      </c>
      <c r="D40" s="959"/>
      <c r="E40" s="960">
        <f t="shared" si="2"/>
        <v>18.113906157360503</v>
      </c>
      <c r="F40" s="961"/>
      <c r="G40" s="960">
        <f t="shared" si="0"/>
        <v>21.2652</v>
      </c>
      <c r="H40" s="961"/>
      <c r="I40" s="55"/>
      <c r="J40" s="55"/>
      <c r="K40" s="55"/>
      <c r="L40" s="55"/>
      <c r="M40" s="55"/>
      <c r="N40" s="55"/>
      <c r="Q40" s="256">
        <v>30</v>
      </c>
      <c r="R40" s="255">
        <f t="shared" si="3"/>
        <v>4.5033448255209985</v>
      </c>
      <c r="S40" s="255">
        <f t="shared" si="1"/>
        <v>1.5290231241151488</v>
      </c>
      <c r="T40" s="248">
        <f t="shared" si="4"/>
        <v>17.096655174479004</v>
      </c>
      <c r="U40" s="248">
        <f t="shared" si="5"/>
        <v>20.070976875884853</v>
      </c>
    </row>
    <row r="41" spans="1:21" s="32" customFormat="1" ht="9.9499999999999993" customHeight="1" x14ac:dyDescent="0.2">
      <c r="A41" s="956" t="s">
        <v>6</v>
      </c>
      <c r="B41" s="957"/>
      <c r="C41" s="958">
        <f>HLOOKUP($C$33,'Bemessungsregendaten, kfu'!$D$20:$N$41,7,0)</f>
        <v>24.5</v>
      </c>
      <c r="D41" s="959"/>
      <c r="E41" s="960">
        <f t="shared" si="2"/>
        <v>18.800809236040752</v>
      </c>
      <c r="F41" s="961"/>
      <c r="G41" s="960">
        <f t="shared" si="0"/>
        <v>23.527750000000001</v>
      </c>
      <c r="H41" s="961"/>
      <c r="I41" s="55"/>
      <c r="J41" s="55"/>
      <c r="K41" s="55"/>
      <c r="L41" s="55"/>
      <c r="M41" s="55"/>
      <c r="N41" s="55"/>
      <c r="Q41" s="256">
        <v>45</v>
      </c>
      <c r="R41" s="255">
        <f t="shared" si="3"/>
        <v>6.755017238281499</v>
      </c>
      <c r="S41" s="255">
        <f t="shared" si="1"/>
        <v>2.2935346861727237</v>
      </c>
      <c r="T41" s="248">
        <f t="shared" si="4"/>
        <v>17.7449827617185</v>
      </c>
      <c r="U41" s="248">
        <f t="shared" si="5"/>
        <v>22.206465313827277</v>
      </c>
    </row>
    <row r="42" spans="1:21" s="32" customFormat="1" ht="9.9499999999999993" customHeight="1" x14ac:dyDescent="0.2">
      <c r="A42" s="956" t="s">
        <v>8</v>
      </c>
      <c r="B42" s="957"/>
      <c r="C42" s="958">
        <f>HLOOKUP($C$33,'Bemessungsregendaten, kfu'!$D$20:$N$41,8,0)</f>
        <v>26.5</v>
      </c>
      <c r="D42" s="959"/>
      <c r="E42" s="960">
        <f t="shared" si="2"/>
        <v>18.534162314721009</v>
      </c>
      <c r="F42" s="961"/>
      <c r="G42" s="960">
        <f t="shared" si="0"/>
        <v>24.836750000000002</v>
      </c>
      <c r="H42" s="961"/>
      <c r="I42" s="55"/>
      <c r="J42" s="55"/>
      <c r="K42" s="55"/>
      <c r="L42" s="55"/>
      <c r="M42" s="55"/>
      <c r="N42" s="55"/>
      <c r="Q42" s="256">
        <v>60</v>
      </c>
      <c r="R42" s="255">
        <f t="shared" si="3"/>
        <v>9.0066896510419969</v>
      </c>
      <c r="S42" s="255">
        <f t="shared" si="1"/>
        <v>3.0580462482302977</v>
      </c>
      <c r="T42" s="248">
        <f t="shared" si="4"/>
        <v>17.493310348958005</v>
      </c>
      <c r="U42" s="248">
        <f t="shared" si="5"/>
        <v>23.441953751769702</v>
      </c>
    </row>
    <row r="43" spans="1:21" s="32" customFormat="1" ht="9.9499999999999993" customHeight="1" x14ac:dyDescent="0.2">
      <c r="A43" s="956" t="s">
        <v>9</v>
      </c>
      <c r="B43" s="957"/>
      <c r="C43" s="958">
        <f>HLOOKUP($C$33,'Bemessungsregendaten, kfu'!$D$20:$N$41,9,0)</f>
        <v>29.5</v>
      </c>
      <c r="D43" s="959"/>
      <c r="E43" s="960">
        <f t="shared" si="2"/>
        <v>16.941368472081503</v>
      </c>
      <c r="F43" s="961"/>
      <c r="G43" s="960">
        <f t="shared" si="0"/>
        <v>26.395250000000001</v>
      </c>
      <c r="H43" s="961"/>
      <c r="I43" s="55"/>
      <c r="J43" s="55"/>
      <c r="K43" s="55"/>
      <c r="L43" s="55"/>
      <c r="M43" s="55"/>
      <c r="N43" s="55"/>
      <c r="Q43" s="256">
        <v>90</v>
      </c>
      <c r="R43" s="255">
        <f t="shared" si="3"/>
        <v>13.510034476562998</v>
      </c>
      <c r="S43" s="255">
        <f t="shared" si="1"/>
        <v>4.5870693723454474</v>
      </c>
      <c r="T43" s="248">
        <f t="shared" si="4"/>
        <v>15.989965523437002</v>
      </c>
      <c r="U43" s="248">
        <f t="shared" si="5"/>
        <v>24.912930627654553</v>
      </c>
    </row>
    <row r="44" spans="1:21" s="32" customFormat="1" ht="9.9499999999999993" customHeight="1" x14ac:dyDescent="0.2">
      <c r="A44" s="956" t="s">
        <v>10</v>
      </c>
      <c r="B44" s="957"/>
      <c r="C44" s="958">
        <f>HLOOKUP($C$33,'Bemessungsregendaten, kfu'!$D$20:$N$41,10,0)</f>
        <v>32</v>
      </c>
      <c r="D44" s="959"/>
      <c r="E44" s="960">
        <f t="shared" si="2"/>
        <v>14.818824629442009</v>
      </c>
      <c r="F44" s="961"/>
      <c r="G44" s="960">
        <f t="shared" si="0"/>
        <v>27.423999999999999</v>
      </c>
      <c r="H44" s="961"/>
      <c r="I44" s="55"/>
      <c r="J44" s="55"/>
      <c r="K44" s="55"/>
      <c r="L44" s="55"/>
      <c r="M44" s="55"/>
      <c r="N44" s="55"/>
      <c r="Q44" s="256">
        <v>120</v>
      </c>
      <c r="R44" s="255">
        <f t="shared" si="3"/>
        <v>18.013379302083994</v>
      </c>
      <c r="S44" s="255">
        <f t="shared" si="1"/>
        <v>6.1160924964605954</v>
      </c>
      <c r="T44" s="248">
        <f t="shared" si="4"/>
        <v>13.986620697916006</v>
      </c>
      <c r="U44" s="248">
        <f t="shared" si="5"/>
        <v>25.883907503539405</v>
      </c>
    </row>
    <row r="45" spans="1:21" s="32" customFormat="1" ht="9.9499999999999993" customHeight="1" x14ac:dyDescent="0.2">
      <c r="A45" s="956" t="s">
        <v>11</v>
      </c>
      <c r="B45" s="957"/>
      <c r="C45" s="958">
        <f>HLOOKUP($C$33,'Bemessungsregendaten, kfu'!$D$20:$N$41,11,0)</f>
        <v>36.1</v>
      </c>
      <c r="D45" s="959"/>
      <c r="E45" s="960">
        <f t="shared" si="2"/>
        <v>9.6201869441630095</v>
      </c>
      <c r="F45" s="961"/>
      <c r="G45" s="960">
        <f t="shared" si="0"/>
        <v>28.527950000000001</v>
      </c>
      <c r="H45" s="961"/>
      <c r="I45" s="55"/>
      <c r="J45" s="55"/>
      <c r="K45" s="55"/>
      <c r="L45" s="55"/>
      <c r="M45" s="55"/>
      <c r="N45" s="55"/>
      <c r="Q45" s="256">
        <v>180</v>
      </c>
      <c r="R45" s="255">
        <f t="shared" si="3"/>
        <v>27.020068953125996</v>
      </c>
      <c r="S45" s="255">
        <f t="shared" si="1"/>
        <v>9.1741387446908949</v>
      </c>
      <c r="T45" s="248">
        <f t="shared" si="4"/>
        <v>9.0799310468740053</v>
      </c>
      <c r="U45" s="248">
        <f t="shared" si="5"/>
        <v>26.925861255309108</v>
      </c>
    </row>
    <row r="46" spans="1:21" s="32" customFormat="1" ht="9.9499999999999993" customHeight="1" x14ac:dyDescent="0.2">
      <c r="A46" s="956" t="s">
        <v>12</v>
      </c>
      <c r="B46" s="957"/>
      <c r="C46" s="958">
        <f>HLOOKUP($C$33,'Bemessungsregendaten, kfu'!$D$20:$N$41,12,0)</f>
        <v>39.200000000000003</v>
      </c>
      <c r="D46" s="959"/>
      <c r="E46" s="960">
        <f t="shared" si="2"/>
        <v>3.3620492588840198</v>
      </c>
      <c r="F46" s="961"/>
      <c r="G46" s="960">
        <f t="shared" si="0"/>
        <v>28.572400000000002</v>
      </c>
      <c r="H46" s="961"/>
      <c r="I46" s="55"/>
      <c r="J46" s="55"/>
      <c r="K46" s="55"/>
      <c r="L46" s="55"/>
      <c r="M46" s="55"/>
      <c r="N46" s="55"/>
      <c r="Q46" s="256">
        <v>240</v>
      </c>
      <c r="R46" s="255">
        <f t="shared" si="3"/>
        <v>36.026758604167988</v>
      </c>
      <c r="S46" s="255">
        <f t="shared" si="1"/>
        <v>12.232184992921191</v>
      </c>
      <c r="T46" s="248">
        <f t="shared" si="4"/>
        <v>3.1732413958320151</v>
      </c>
      <c r="U46" s="248">
        <f t="shared" si="5"/>
        <v>26.967815007078812</v>
      </c>
    </row>
    <row r="47" spans="1:21" s="32" customFormat="1" ht="9.9499999999999993" customHeight="1" x14ac:dyDescent="0.2">
      <c r="A47" s="956" t="s">
        <v>13</v>
      </c>
      <c r="B47" s="957"/>
      <c r="C47" s="958">
        <f>HLOOKUP($C$33,'Bemessungsregendaten, kfu'!$D$20:$N$41,13,0)</f>
        <v>45.8</v>
      </c>
      <c r="D47" s="959"/>
      <c r="E47" s="960">
        <f t="shared" si="2"/>
        <v>0</v>
      </c>
      <c r="F47" s="961"/>
      <c r="G47" s="960">
        <f t="shared" si="0"/>
        <v>29.085099999999994</v>
      </c>
      <c r="H47" s="961"/>
      <c r="I47" s="55"/>
      <c r="J47" s="55"/>
      <c r="K47" s="55"/>
      <c r="L47" s="55"/>
      <c r="M47" s="55"/>
      <c r="N47" s="55"/>
      <c r="Q47" s="256">
        <v>360</v>
      </c>
      <c r="R47" s="255">
        <f t="shared" si="3"/>
        <v>54.040137906251992</v>
      </c>
      <c r="S47" s="255">
        <f t="shared" si="1"/>
        <v>18.34827748938179</v>
      </c>
      <c r="T47" s="248">
        <f t="shared" si="4"/>
        <v>0</v>
      </c>
      <c r="U47" s="248">
        <f t="shared" si="5"/>
        <v>27.451722510618207</v>
      </c>
    </row>
    <row r="48" spans="1:21" s="32" customFormat="1" ht="9.9499999999999993" customHeight="1" x14ac:dyDescent="0.2">
      <c r="A48" s="956" t="s">
        <v>14</v>
      </c>
      <c r="B48" s="957"/>
      <c r="C48" s="958">
        <f>HLOOKUP($C$33,'Bemessungsregendaten, kfu'!$D$20:$N$41,14,0)</f>
        <v>53.5</v>
      </c>
      <c r="D48" s="959"/>
      <c r="E48" s="960">
        <f t="shared" si="2"/>
        <v>0</v>
      </c>
      <c r="F48" s="961"/>
      <c r="G48" s="960">
        <f t="shared" si="0"/>
        <v>27.523250000000001</v>
      </c>
      <c r="H48" s="961"/>
      <c r="I48" s="55"/>
      <c r="J48" s="55"/>
      <c r="K48" s="55"/>
      <c r="L48" s="55"/>
      <c r="M48" s="55"/>
      <c r="N48" s="55"/>
      <c r="Q48" s="256">
        <v>540</v>
      </c>
      <c r="R48" s="255">
        <f t="shared" si="3"/>
        <v>81.060206859377985</v>
      </c>
      <c r="S48" s="255">
        <f t="shared" si="1"/>
        <v>27.522416234072676</v>
      </c>
      <c r="T48" s="248">
        <f t="shared" si="4"/>
        <v>0</v>
      </c>
      <c r="U48" s="248">
        <f t="shared" si="5"/>
        <v>25.977583765927324</v>
      </c>
    </row>
    <row r="49" spans="1:21" s="32" customFormat="1" ht="9.9499999999999993" customHeight="1" x14ac:dyDescent="0.2">
      <c r="A49" s="956" t="s">
        <v>15</v>
      </c>
      <c r="B49" s="957"/>
      <c r="C49" s="958">
        <f>HLOOKUP($C$33,'Bemessungsregendaten, kfu'!$D$20:$N$41,15,0)</f>
        <v>59.3</v>
      </c>
      <c r="D49" s="959"/>
      <c r="E49" s="960">
        <f t="shared" si="2"/>
        <v>0</v>
      </c>
      <c r="F49" s="961"/>
      <c r="G49" s="960">
        <f t="shared" si="0"/>
        <v>23.948349999999987</v>
      </c>
      <c r="H49" s="961"/>
      <c r="I49" s="55"/>
      <c r="J49" s="55"/>
      <c r="K49" s="55"/>
      <c r="L49" s="55"/>
      <c r="M49" s="55"/>
      <c r="N49" s="55"/>
      <c r="Q49" s="256">
        <v>720</v>
      </c>
      <c r="R49" s="255">
        <f t="shared" si="3"/>
        <v>108.08027581250398</v>
      </c>
      <c r="S49" s="255">
        <f t="shared" si="1"/>
        <v>36.696554978763579</v>
      </c>
      <c r="T49" s="248">
        <f t="shared" si="4"/>
        <v>0</v>
      </c>
      <c r="U49" s="248">
        <f t="shared" si="5"/>
        <v>22.603445021236418</v>
      </c>
    </row>
    <row r="50" spans="1:21" s="32" customFormat="1" ht="9.9499999999999993" customHeight="1" x14ac:dyDescent="0.2">
      <c r="A50" s="956" t="s">
        <v>16</v>
      </c>
      <c r="B50" s="957"/>
      <c r="C50" s="958">
        <f>HLOOKUP($C$33,'Bemessungsregendaten, kfu'!$D$20:$N$41,16,0)</f>
        <v>67.900000000000006</v>
      </c>
      <c r="D50" s="959"/>
      <c r="E50" s="960">
        <f t="shared" si="2"/>
        <v>0</v>
      </c>
      <c r="F50" s="961"/>
      <c r="G50" s="960">
        <f t="shared" si="0"/>
        <v>13.620050000000006</v>
      </c>
      <c r="H50" s="961"/>
      <c r="I50" s="55"/>
      <c r="J50" s="55"/>
      <c r="K50" s="55"/>
      <c r="L50" s="55"/>
      <c r="M50" s="55"/>
      <c r="N50" s="55"/>
      <c r="Q50" s="256">
        <v>1080</v>
      </c>
      <c r="R50" s="255">
        <f t="shared" si="3"/>
        <v>162.12041371875597</v>
      </c>
      <c r="S50" s="255">
        <f t="shared" si="1"/>
        <v>55.044832468145351</v>
      </c>
      <c r="T50" s="248">
        <f t="shared" si="4"/>
        <v>0</v>
      </c>
      <c r="U50" s="248">
        <f t="shared" si="5"/>
        <v>12.855167531854654</v>
      </c>
    </row>
    <row r="51" spans="1:21" s="32" customFormat="1" ht="9.9499999999999993" customHeight="1" x14ac:dyDescent="0.2">
      <c r="A51" s="956" t="s">
        <v>17</v>
      </c>
      <c r="B51" s="957"/>
      <c r="C51" s="958">
        <f>HLOOKUP($C$33,'Bemessungsregendaten, kfu'!$D$20:$N$41,17,0)</f>
        <v>70.400000000000006</v>
      </c>
      <c r="D51" s="959"/>
      <c r="E51" s="960">
        <f t="shared" si="2"/>
        <v>0</v>
      </c>
      <c r="F51" s="961"/>
      <c r="G51" s="960">
        <f t="shared" si="0"/>
        <v>0</v>
      </c>
      <c r="H51" s="961"/>
      <c r="I51" s="55"/>
      <c r="J51" s="55"/>
      <c r="K51" s="55"/>
      <c r="L51" s="55"/>
      <c r="M51" s="55"/>
      <c r="N51" s="55"/>
      <c r="Q51" s="256">
        <v>1440</v>
      </c>
      <c r="R51" s="255">
        <f t="shared" si="3"/>
        <v>216.16055162500797</v>
      </c>
      <c r="S51" s="255">
        <f t="shared" si="1"/>
        <v>73.393109957527159</v>
      </c>
      <c r="T51" s="248">
        <f t="shared" si="4"/>
        <v>0</v>
      </c>
      <c r="U51" s="248">
        <f t="shared" si="5"/>
        <v>0</v>
      </c>
    </row>
    <row r="52" spans="1:21" s="32" customFormat="1" ht="9.9499999999999993" customHeight="1" x14ac:dyDescent="0.2">
      <c r="A52" s="956" t="s">
        <v>18</v>
      </c>
      <c r="B52" s="957"/>
      <c r="C52" s="958">
        <f>HLOOKUP($C$33,'Bemessungsregendaten, kfu'!$D$20:$N$41,18,0)</f>
        <v>83.6</v>
      </c>
      <c r="D52" s="959"/>
      <c r="E52" s="960">
        <f t="shared" si="2"/>
        <v>0</v>
      </c>
      <c r="F52" s="961"/>
      <c r="G52" s="960">
        <f t="shared" si="0"/>
        <v>0</v>
      </c>
      <c r="H52" s="961"/>
      <c r="I52" s="55"/>
      <c r="J52" s="55"/>
      <c r="K52" s="55"/>
      <c r="L52" s="55"/>
      <c r="M52" s="55"/>
      <c r="N52" s="55"/>
      <c r="Q52" s="256">
        <v>2880</v>
      </c>
      <c r="R52" s="255">
        <f t="shared" si="3"/>
        <v>432.32110325001594</v>
      </c>
      <c r="S52" s="255">
        <f t="shared" si="1"/>
        <v>146.78621991505432</v>
      </c>
      <c r="T52" s="248">
        <f t="shared" si="4"/>
        <v>0</v>
      </c>
      <c r="U52" s="248">
        <f t="shared" si="5"/>
        <v>0</v>
      </c>
    </row>
    <row r="53" spans="1:21" s="32" customFormat="1" ht="9.9499999999999993" customHeight="1" x14ac:dyDescent="0.2">
      <c r="A53" s="956" t="s">
        <v>19</v>
      </c>
      <c r="B53" s="957"/>
      <c r="C53" s="958">
        <f>HLOOKUP($C$33,'Bemessungsregendaten, kfu'!$D$20:$N$41,19,0)</f>
        <v>92.6</v>
      </c>
      <c r="D53" s="959"/>
      <c r="E53" s="960">
        <f t="shared" si="2"/>
        <v>0</v>
      </c>
      <c r="F53" s="961"/>
      <c r="G53" s="960">
        <f t="shared" si="0"/>
        <v>0</v>
      </c>
      <c r="H53" s="961"/>
      <c r="I53" s="55"/>
      <c r="J53" s="55"/>
      <c r="K53" s="55"/>
      <c r="L53" s="55"/>
      <c r="M53" s="55"/>
      <c r="N53" s="55"/>
      <c r="Q53" s="256">
        <v>4320</v>
      </c>
      <c r="R53" s="255">
        <f t="shared" si="3"/>
        <v>648.48165487502388</v>
      </c>
      <c r="S53" s="255">
        <f t="shared" si="1"/>
        <v>220.17932987258141</v>
      </c>
      <c r="T53" s="248">
        <f t="shared" si="4"/>
        <v>0</v>
      </c>
      <c r="U53" s="248">
        <f t="shared" si="5"/>
        <v>0</v>
      </c>
    </row>
    <row r="54" spans="1:21" s="32" customFormat="1" ht="9.9499999999999993" customHeight="1" x14ac:dyDescent="0.2">
      <c r="A54" s="956" t="s">
        <v>20</v>
      </c>
      <c r="B54" s="957"/>
      <c r="C54" s="958">
        <f>HLOOKUP($C$33,'Bemessungsregendaten, kfu'!$D$20:$N$41,20,0)</f>
        <v>99.1</v>
      </c>
      <c r="D54" s="959"/>
      <c r="E54" s="960">
        <f t="shared" si="2"/>
        <v>0</v>
      </c>
      <c r="F54" s="961"/>
      <c r="G54" s="960">
        <f t="shared" si="0"/>
        <v>0</v>
      </c>
      <c r="H54" s="961"/>
      <c r="I54" s="55"/>
      <c r="J54" s="55"/>
      <c r="K54" s="55"/>
      <c r="L54" s="55"/>
      <c r="M54" s="55"/>
      <c r="N54" s="55"/>
      <c r="Q54" s="256">
        <v>5760</v>
      </c>
      <c r="R54" s="255">
        <f t="shared" si="3"/>
        <v>864.64220650003188</v>
      </c>
      <c r="S54" s="255">
        <f t="shared" si="1"/>
        <v>293.57243983010864</v>
      </c>
      <c r="T54" s="248">
        <f t="shared" si="4"/>
        <v>0</v>
      </c>
      <c r="U54" s="248">
        <f t="shared" si="5"/>
        <v>0</v>
      </c>
    </row>
    <row r="55" spans="1:21" s="32" customFormat="1" ht="9.9499999999999993" customHeight="1" x14ac:dyDescent="0.2">
      <c r="A55" s="956" t="s">
        <v>21</v>
      </c>
      <c r="B55" s="957"/>
      <c r="C55" s="958">
        <f>HLOOKUP($C$33,'Bemessungsregendaten, kfu'!$D$20:$N$41,21,0)</f>
        <v>104.4</v>
      </c>
      <c r="D55" s="959"/>
      <c r="E55" s="960">
        <f t="shared" si="2"/>
        <v>0</v>
      </c>
      <c r="F55" s="961"/>
      <c r="G55" s="960">
        <f t="shared" si="0"/>
        <v>0</v>
      </c>
      <c r="H55" s="961"/>
      <c r="I55" s="55"/>
      <c r="J55" s="55"/>
      <c r="K55" s="55"/>
      <c r="L55" s="55"/>
      <c r="M55" s="55"/>
      <c r="N55" s="55"/>
      <c r="Q55" s="256">
        <v>7200</v>
      </c>
      <c r="R55" s="255">
        <f t="shared" si="3"/>
        <v>1080.8027581250399</v>
      </c>
      <c r="S55" s="255">
        <f t="shared" si="1"/>
        <v>366.96554978763572</v>
      </c>
      <c r="T55" s="248">
        <f t="shared" si="4"/>
        <v>0</v>
      </c>
      <c r="U55" s="248">
        <f t="shared" si="5"/>
        <v>0</v>
      </c>
    </row>
    <row r="56" spans="1:21" s="32" customFormat="1" ht="9.9499999999999993" customHeight="1" thickBot="1" x14ac:dyDescent="0.25">
      <c r="A56" s="1095" t="s">
        <v>22</v>
      </c>
      <c r="B56" s="1096"/>
      <c r="C56" s="1066">
        <f>HLOOKUP($C$33,'Bemessungsregendaten, kfu'!$D$20:$N$304,22,0)</f>
        <v>110.1</v>
      </c>
      <c r="D56" s="1067"/>
      <c r="E56" s="960">
        <f t="shared" si="2"/>
        <v>0</v>
      </c>
      <c r="F56" s="961"/>
      <c r="G56" s="960">
        <f t="shared" si="0"/>
        <v>0</v>
      </c>
      <c r="H56" s="961"/>
      <c r="I56" s="55"/>
      <c r="J56" s="55"/>
      <c r="K56" s="55"/>
      <c r="L56" s="55"/>
      <c r="M56" s="55"/>
      <c r="N56" s="55"/>
      <c r="Q56" s="256">
        <v>8640</v>
      </c>
      <c r="R56" s="255">
        <f>Q56*($G$19/2)*$G$20*((($G$24^2*PI())/4)/$G$17)*60000</f>
        <v>1296.9633097500478</v>
      </c>
      <c r="S56" s="255">
        <f t="shared" si="1"/>
        <v>440.35865974516281</v>
      </c>
      <c r="T56" s="248">
        <f t="shared" si="4"/>
        <v>0</v>
      </c>
      <c r="U56" s="248">
        <f t="shared" si="5"/>
        <v>0</v>
      </c>
    </row>
    <row r="57" spans="1:21" ht="3" customHeight="1" thickBot="1" x14ac:dyDescent="0.25">
      <c r="A57" s="1062"/>
      <c r="B57" s="1062"/>
      <c r="C57" s="1062"/>
      <c r="D57" s="1062"/>
      <c r="E57" s="1062"/>
      <c r="F57" s="1062"/>
      <c r="G57" s="1062"/>
      <c r="H57" s="1062"/>
      <c r="I57" s="55"/>
      <c r="J57" s="55"/>
      <c r="K57" s="55"/>
      <c r="L57" s="55"/>
      <c r="M57" s="55"/>
      <c r="N57" s="55"/>
      <c r="T57" s="33"/>
      <c r="U57" s="33"/>
    </row>
    <row r="58" spans="1:21" ht="15.75" customHeight="1" thickBot="1" x14ac:dyDescent="0.25">
      <c r="A58" s="1059" t="s">
        <v>101</v>
      </c>
      <c r="B58" s="1060"/>
      <c r="C58" s="1060"/>
      <c r="D58" s="1060"/>
      <c r="E58" s="1060"/>
      <c r="F58" s="1060"/>
      <c r="G58" s="1060"/>
      <c r="H58" s="1061"/>
      <c r="I58" s="75"/>
      <c r="J58" s="75"/>
      <c r="K58" s="75"/>
      <c r="L58" s="75"/>
      <c r="M58" s="75"/>
      <c r="N58" s="75"/>
      <c r="R58" s="23"/>
      <c r="S58" s="23"/>
      <c r="T58" s="9"/>
      <c r="U58" s="9"/>
    </row>
    <row r="59" spans="1:21" ht="11.25" customHeight="1" x14ac:dyDescent="0.2">
      <c r="A59" s="290"/>
      <c r="B59" s="291"/>
      <c r="C59" s="291"/>
      <c r="D59" s="291"/>
      <c r="E59" s="1094" t="s">
        <v>146</v>
      </c>
      <c r="F59" s="1094"/>
      <c r="G59" s="1070" t="s">
        <v>154</v>
      </c>
      <c r="H59" s="1071"/>
      <c r="I59" s="75"/>
      <c r="J59" s="75"/>
      <c r="K59" s="75"/>
      <c r="L59" s="75"/>
      <c r="M59" s="75"/>
      <c r="N59" s="75"/>
      <c r="R59" s="23"/>
      <c r="S59" s="23"/>
      <c r="T59" s="9"/>
      <c r="U59" s="9"/>
    </row>
    <row r="60" spans="1:21" ht="13.5" customHeight="1" x14ac:dyDescent="0.2">
      <c r="A60" s="1046" t="s">
        <v>65</v>
      </c>
      <c r="B60" s="1047"/>
      <c r="C60" s="1047"/>
      <c r="D60" s="1047"/>
      <c r="E60" s="1093">
        <f>MAX(E36:E56)</f>
        <v>18.800809236040752</v>
      </c>
      <c r="F60" s="1093"/>
      <c r="G60" s="1068">
        <f>MAX(G35:G56)</f>
        <v>29.085099999999994</v>
      </c>
      <c r="H60" s="1069"/>
      <c r="I60" s="407">
        <f>G60-G29*(G26+G21)*G27/100</f>
        <v>26.610099999999992</v>
      </c>
      <c r="J60" s="244"/>
      <c r="K60" s="12"/>
      <c r="L60" s="1063"/>
      <c r="M60" s="1063"/>
      <c r="N60" s="1063"/>
      <c r="Q60" s="257"/>
    </row>
    <row r="61" spans="1:21" ht="13.5" customHeight="1" x14ac:dyDescent="0.2">
      <c r="A61" s="1046" t="s">
        <v>110</v>
      </c>
      <c r="B61" s="1047"/>
      <c r="C61" s="1047"/>
      <c r="D61" s="1047"/>
      <c r="E61" s="1091">
        <f>E60/I24</f>
        <v>10.63908168548852</v>
      </c>
      <c r="F61" s="1092"/>
      <c r="G61" s="1103">
        <f>(ROUND(I60/(I24+(G29-I25)*G27/100),2))</f>
        <v>4.66</v>
      </c>
      <c r="H61" s="1104"/>
      <c r="I61" s="12"/>
      <c r="J61" s="12"/>
      <c r="K61" s="12"/>
      <c r="L61" s="1063"/>
      <c r="M61" s="1063"/>
      <c r="N61" s="1063"/>
      <c r="Q61" s="257"/>
    </row>
    <row r="62" spans="1:21" s="19" customFormat="1" ht="11.25" customHeight="1" x14ac:dyDescent="0.2">
      <c r="A62" s="1078" t="s">
        <v>267</v>
      </c>
      <c r="B62" s="1079"/>
      <c r="C62" s="1079"/>
      <c r="D62" s="1079"/>
      <c r="E62" s="1100">
        <f>ASI!H39/100</f>
        <v>0.78</v>
      </c>
      <c r="F62" s="1101"/>
      <c r="G62" s="1101"/>
      <c r="H62" s="1102"/>
      <c r="I62" s="83"/>
      <c r="J62" s="62"/>
      <c r="K62" s="62"/>
      <c r="L62" s="1063"/>
      <c r="M62" s="1063"/>
      <c r="N62" s="1063"/>
      <c r="Q62" s="258"/>
      <c r="R62" s="258"/>
      <c r="S62" s="258"/>
    </row>
    <row r="63" spans="1:21" s="19" customFormat="1" ht="11.25" customHeight="1" x14ac:dyDescent="0.2">
      <c r="A63" s="1051"/>
      <c r="B63" s="1080"/>
      <c r="C63" s="1080"/>
      <c r="D63" s="1080"/>
      <c r="E63" s="1081" t="str">
        <f>IF(E62=MAX(E61:H61),"Stauhöhe OK.",IF(E62&gt;MAX(E61:H61),"Stauhöhe OK.","ACHTUNG! Gewählte Stauhöhe zu gering!"))</f>
        <v>ACHTUNG! Gewählte Stauhöhe zu gering!</v>
      </c>
      <c r="F63" s="1082"/>
      <c r="G63" s="1082"/>
      <c r="H63" s="1083"/>
      <c r="I63" s="83"/>
      <c r="J63" s="62"/>
      <c r="K63" s="62"/>
      <c r="L63" s="1063"/>
      <c r="M63" s="1063"/>
      <c r="N63" s="1063"/>
      <c r="Q63" s="258"/>
      <c r="R63" s="258"/>
      <c r="S63" s="258"/>
    </row>
    <row r="64" spans="1:21" s="19" customFormat="1" ht="13.5" customHeight="1" x14ac:dyDescent="0.2">
      <c r="A64" s="1046" t="s">
        <v>156</v>
      </c>
      <c r="B64" s="1047"/>
      <c r="C64" s="1047"/>
      <c r="D64" s="1047"/>
      <c r="E64" s="1085"/>
      <c r="F64" s="1086"/>
      <c r="G64" s="1064">
        <f>E62+G26+G28+G21</f>
        <v>2.1999999999999997</v>
      </c>
      <c r="H64" s="1065"/>
      <c r="I64" s="62"/>
      <c r="J64" s="62"/>
      <c r="K64" s="62"/>
      <c r="L64" s="1063"/>
      <c r="M64" s="1063"/>
      <c r="N64" s="1063"/>
      <c r="Q64" s="258"/>
      <c r="R64" s="258"/>
      <c r="S64" s="258"/>
    </row>
    <row r="65" spans="1:21" s="19" customFormat="1" ht="13.5" customHeight="1" x14ac:dyDescent="0.2">
      <c r="A65" s="1046" t="s">
        <v>67</v>
      </c>
      <c r="B65" s="1047"/>
      <c r="C65" s="1047"/>
      <c r="D65" s="1047"/>
      <c r="E65" s="1087"/>
      <c r="F65" s="1087"/>
      <c r="G65" s="178" t="str">
        <f>IF((MAX(G35:G56)&gt;0),(INDEX(A35:A56,MATCH(MAX(G35:G56),G35:G56,0))),"-")</f>
        <v>6 h</v>
      </c>
      <c r="H65" s="245">
        <f>IF((MAX(G35:G56)&gt;0),(INDEX(C35:C56,MATCH(MAX(G35:G56),G35:G56,0))),"-")</f>
        <v>45.8</v>
      </c>
      <c r="I65" s="62"/>
      <c r="J65" s="62"/>
      <c r="K65" s="62"/>
      <c r="L65" s="1063"/>
      <c r="M65" s="1063"/>
      <c r="N65" s="1063"/>
      <c r="Q65" s="258"/>
      <c r="R65" s="258"/>
      <c r="S65" s="258"/>
    </row>
    <row r="66" spans="1:21" s="19" customFormat="1" ht="13.5" customHeight="1" x14ac:dyDescent="0.2">
      <c r="A66" s="1056" t="s">
        <v>175</v>
      </c>
      <c r="B66" s="1084"/>
      <c r="C66" s="1084"/>
      <c r="D66" s="1084"/>
      <c r="E66" s="1088">
        <f>C33</f>
        <v>5</v>
      </c>
      <c r="F66" s="1089"/>
      <c r="G66" s="1089"/>
      <c r="H66" s="1090"/>
      <c r="I66" s="62"/>
      <c r="J66" s="62"/>
      <c r="K66" s="62"/>
      <c r="L66" s="1063"/>
      <c r="M66" s="1063"/>
      <c r="N66" s="1063"/>
      <c r="Q66" s="258"/>
      <c r="R66" s="258"/>
      <c r="S66" s="258"/>
      <c r="U66" s="289">
        <f>MAX(E61:H61)</f>
        <v>10.63908168548852</v>
      </c>
    </row>
    <row r="67" spans="1:21" s="19" customFormat="1" ht="13.5" customHeight="1" x14ac:dyDescent="0.2">
      <c r="A67" s="1056" t="s">
        <v>309</v>
      </c>
      <c r="B67" s="1141"/>
      <c r="C67" s="1141"/>
      <c r="D67" s="1142"/>
      <c r="E67" s="1054">
        <f>I24*(G19*G20)*1000</f>
        <v>5.3014376029327757</v>
      </c>
      <c r="F67" s="1105"/>
      <c r="G67" s="1054">
        <f>G29*(G22*G23)*1000</f>
        <v>1.8000000000000003</v>
      </c>
      <c r="H67" s="1055"/>
      <c r="I67" s="62"/>
      <c r="J67" s="134"/>
      <c r="K67" s="62"/>
      <c r="L67" s="1063"/>
      <c r="M67" s="1063"/>
      <c r="N67" s="1063"/>
      <c r="Q67" s="259"/>
      <c r="R67" s="258"/>
      <c r="S67" s="258"/>
    </row>
    <row r="68" spans="1:21" s="19" customFormat="1" ht="13.5" customHeight="1" x14ac:dyDescent="0.2">
      <c r="A68" s="1051" t="s">
        <v>310</v>
      </c>
      <c r="B68" s="1052"/>
      <c r="C68" s="1052"/>
      <c r="D68" s="1053"/>
      <c r="E68" s="1048">
        <f>E67*3.6*24</f>
        <v>458.0442088933919</v>
      </c>
      <c r="F68" s="1049"/>
      <c r="G68" s="1048">
        <f>G67*3.6*24</f>
        <v>155.52000000000004</v>
      </c>
      <c r="H68" s="1050"/>
      <c r="I68" s="62"/>
      <c r="J68" s="134"/>
      <c r="K68" s="62"/>
      <c r="L68" s="1063"/>
      <c r="M68" s="1063"/>
      <c r="N68" s="1063"/>
      <c r="Q68" s="259"/>
      <c r="R68" s="258"/>
      <c r="S68" s="258"/>
    </row>
    <row r="69" spans="1:21" s="19" customFormat="1" ht="13.5" customHeight="1" x14ac:dyDescent="0.2">
      <c r="A69" s="1056" t="s">
        <v>315</v>
      </c>
      <c r="B69" s="1047"/>
      <c r="C69" s="1047"/>
      <c r="D69" s="1106"/>
      <c r="E69" s="1075">
        <f>MIN(E68:H68)</f>
        <v>155.52000000000004</v>
      </c>
      <c r="F69" s="1076"/>
      <c r="G69" s="1076"/>
      <c r="H69" s="1077"/>
      <c r="I69" s="62"/>
      <c r="J69" s="134"/>
      <c r="K69" s="62"/>
      <c r="L69" s="1063"/>
      <c r="M69" s="1063"/>
      <c r="N69" s="1063"/>
      <c r="Q69" s="259"/>
      <c r="R69" s="258"/>
      <c r="S69" s="258"/>
    </row>
    <row r="70" spans="1:21" s="19" customFormat="1" ht="13.5" customHeight="1" x14ac:dyDescent="0.2">
      <c r="A70" s="1051" t="s">
        <v>316</v>
      </c>
      <c r="B70" s="1052"/>
      <c r="C70" s="1052"/>
      <c r="D70" s="1053"/>
      <c r="E70" s="1075">
        <f>'Bemessungsregendaten, kfu'!D36*G17/1000</f>
        <v>47.253700000000002</v>
      </c>
      <c r="F70" s="1076"/>
      <c r="G70" s="1076"/>
      <c r="H70" s="1077"/>
      <c r="I70" s="62"/>
      <c r="J70" s="62"/>
      <c r="K70" s="62"/>
      <c r="L70" s="1063"/>
      <c r="M70" s="1063"/>
      <c r="N70" s="1063"/>
      <c r="Q70" s="258"/>
      <c r="R70" s="258"/>
      <c r="S70" s="258"/>
    </row>
    <row r="71" spans="1:21" s="19" customFormat="1" ht="13.5" thickBot="1" x14ac:dyDescent="0.25">
      <c r="A71" s="1097" t="s">
        <v>216</v>
      </c>
      <c r="B71" s="1098"/>
      <c r="C71" s="1098"/>
      <c r="D71" s="1098"/>
      <c r="E71" s="1098"/>
      <c r="F71" s="1099"/>
      <c r="G71" s="1072">
        <f>G64+1</f>
        <v>3.1999999999999997</v>
      </c>
      <c r="H71" s="1073"/>
      <c r="I71" s="1074"/>
      <c r="J71" s="1074"/>
      <c r="K71" s="1074"/>
      <c r="L71" s="1063"/>
      <c r="M71" s="1063"/>
      <c r="N71" s="1063"/>
      <c r="Q71" s="258"/>
      <c r="R71" s="258"/>
      <c r="S71" s="258"/>
    </row>
    <row r="72" spans="1:21" ht="46.5" customHeight="1" thickBot="1" x14ac:dyDescent="0.25">
      <c r="A72" s="280"/>
      <c r="B72" s="280"/>
      <c r="C72" s="280"/>
      <c r="D72" s="280"/>
      <c r="E72" s="280"/>
      <c r="F72" s="280"/>
      <c r="G72" s="280"/>
      <c r="H72" s="280"/>
      <c r="I72" s="64"/>
      <c r="J72" s="64"/>
      <c r="K72" s="64"/>
      <c r="L72" s="64"/>
      <c r="M72" s="64"/>
      <c r="N72" s="64"/>
      <c r="O72" s="23"/>
      <c r="P72" s="23"/>
      <c r="Q72" s="23"/>
    </row>
    <row r="73" spans="1:21" ht="13.5" thickBot="1" x14ac:dyDescent="0.25">
      <c r="A73" s="1037" t="s">
        <v>227</v>
      </c>
      <c r="B73" s="1038"/>
      <c r="C73" s="1038"/>
      <c r="D73" s="1038"/>
      <c r="E73" s="1038"/>
      <c r="F73" s="1038"/>
      <c r="G73" s="1038"/>
      <c r="H73" s="1039"/>
      <c r="I73" s="64"/>
      <c r="J73" s="64"/>
      <c r="K73" s="64"/>
      <c r="L73" s="64"/>
      <c r="M73" s="64"/>
      <c r="N73" s="64"/>
      <c r="O73" s="23"/>
      <c r="P73" s="23"/>
      <c r="Q73" s="23"/>
    </row>
    <row r="74" spans="1:21" ht="19.5" customHeight="1" x14ac:dyDescent="0.2">
      <c r="A74" s="1040"/>
      <c r="B74" s="1041"/>
      <c r="C74" s="1041"/>
      <c r="D74" s="1041"/>
      <c r="E74" s="1041"/>
      <c r="F74" s="1041"/>
      <c r="G74" s="1041"/>
      <c r="H74" s="1042"/>
      <c r="I74" s="64"/>
      <c r="J74" s="64"/>
      <c r="K74" s="64"/>
      <c r="L74" s="64"/>
      <c r="M74" s="64"/>
      <c r="N74" s="64"/>
      <c r="O74" s="23"/>
      <c r="P74" s="23"/>
      <c r="Q74" s="23"/>
    </row>
    <row r="75" spans="1:21" x14ac:dyDescent="0.2">
      <c r="A75" s="1040"/>
      <c r="B75" s="1041"/>
      <c r="C75" s="1041"/>
      <c r="D75" s="1041"/>
      <c r="E75" s="1041"/>
      <c r="F75" s="1041"/>
      <c r="G75" s="1041"/>
      <c r="H75" s="1042"/>
      <c r="I75" s="64"/>
      <c r="J75" s="64"/>
      <c r="K75" s="64"/>
      <c r="L75" s="64"/>
      <c r="M75" s="64"/>
      <c r="N75" s="64"/>
      <c r="O75" s="23"/>
      <c r="P75" s="23"/>
      <c r="Q75" s="23"/>
    </row>
    <row r="76" spans="1:21" ht="28.5" customHeight="1" x14ac:dyDescent="0.2">
      <c r="A76" s="1040"/>
      <c r="B76" s="1041"/>
      <c r="C76" s="1041"/>
      <c r="D76" s="1041"/>
      <c r="E76" s="1041"/>
      <c r="F76" s="1041"/>
      <c r="G76" s="1041"/>
      <c r="H76" s="1042"/>
      <c r="I76" s="64"/>
      <c r="J76" s="64"/>
      <c r="K76" s="64"/>
      <c r="L76" s="64"/>
      <c r="M76" s="64"/>
      <c r="N76" s="64"/>
      <c r="O76" s="23"/>
      <c r="P76" s="23"/>
      <c r="Q76" s="23"/>
    </row>
    <row r="77" spans="1:21" ht="36" customHeight="1" x14ac:dyDescent="0.2">
      <c r="A77" s="1040"/>
      <c r="B77" s="1041"/>
      <c r="C77" s="1041"/>
      <c r="D77" s="1041"/>
      <c r="E77" s="1041"/>
      <c r="F77" s="1041"/>
      <c r="G77" s="1041"/>
      <c r="H77" s="1042"/>
      <c r="I77" s="64"/>
      <c r="J77" s="64"/>
      <c r="K77" s="64"/>
      <c r="L77" s="64"/>
      <c r="M77" s="64"/>
      <c r="N77" s="64"/>
      <c r="O77" s="23"/>
      <c r="P77" s="23"/>
      <c r="Q77" s="23"/>
    </row>
    <row r="78" spans="1:21" ht="72" customHeight="1" x14ac:dyDescent="0.2">
      <c r="A78" s="1040"/>
      <c r="B78" s="1041"/>
      <c r="C78" s="1041"/>
      <c r="D78" s="1041"/>
      <c r="E78" s="1041"/>
      <c r="F78" s="1041"/>
      <c r="G78" s="1041"/>
      <c r="H78" s="1042"/>
      <c r="I78" s="64"/>
      <c r="J78" s="64"/>
      <c r="K78" s="64"/>
      <c r="L78" s="64"/>
      <c r="M78" s="64"/>
      <c r="N78" s="64"/>
      <c r="O78" s="23"/>
      <c r="P78" s="23"/>
      <c r="Q78" s="23"/>
    </row>
    <row r="79" spans="1:21" x14ac:dyDescent="0.2">
      <c r="A79" s="1040"/>
      <c r="B79" s="1041"/>
      <c r="C79" s="1041"/>
      <c r="D79" s="1041"/>
      <c r="E79" s="1041"/>
      <c r="F79" s="1041"/>
      <c r="G79" s="1041"/>
      <c r="H79" s="1042"/>
      <c r="I79" s="64"/>
      <c r="J79" s="64"/>
      <c r="K79" s="64"/>
      <c r="L79" s="64"/>
      <c r="M79" s="64"/>
      <c r="N79" s="64"/>
      <c r="O79" s="23"/>
      <c r="P79" s="23"/>
      <c r="Q79" s="23"/>
    </row>
    <row r="80" spans="1:21" ht="46.5" customHeight="1" x14ac:dyDescent="0.2">
      <c r="A80" s="1040"/>
      <c r="B80" s="1041"/>
      <c r="C80" s="1041"/>
      <c r="D80" s="1041"/>
      <c r="E80" s="1041"/>
      <c r="F80" s="1041"/>
      <c r="G80" s="1041"/>
      <c r="H80" s="1042"/>
      <c r="I80" s="64"/>
      <c r="J80" s="64"/>
      <c r="K80" s="64"/>
      <c r="L80" s="64"/>
      <c r="M80" s="64"/>
      <c r="N80" s="64"/>
      <c r="O80" s="23"/>
      <c r="P80" s="23"/>
      <c r="Q80" s="23"/>
    </row>
    <row r="81" spans="1:21" ht="50.25" customHeight="1" x14ac:dyDescent="0.2">
      <c r="A81" s="1040"/>
      <c r="B81" s="1041"/>
      <c r="C81" s="1041"/>
      <c r="D81" s="1041"/>
      <c r="E81" s="1041"/>
      <c r="F81" s="1041"/>
      <c r="G81" s="1041"/>
      <c r="H81" s="1042"/>
      <c r="I81" s="64"/>
      <c r="J81" s="64"/>
      <c r="K81" s="64"/>
      <c r="L81" s="64"/>
      <c r="M81" s="64"/>
      <c r="N81" s="64"/>
      <c r="O81" s="23"/>
      <c r="P81" s="23"/>
      <c r="Q81" s="23"/>
    </row>
    <row r="82" spans="1:21" ht="6.75" customHeight="1" x14ac:dyDescent="0.2">
      <c r="A82" s="1040"/>
      <c r="B82" s="1041"/>
      <c r="C82" s="1041"/>
      <c r="D82" s="1041"/>
      <c r="E82" s="1041"/>
      <c r="F82" s="1041"/>
      <c r="G82" s="1041"/>
      <c r="H82" s="1042"/>
      <c r="I82" s="64"/>
      <c r="J82" s="64"/>
      <c r="K82" s="64"/>
      <c r="L82" s="64"/>
      <c r="M82" s="64"/>
      <c r="N82" s="64"/>
      <c r="O82" s="23"/>
      <c r="P82" s="23"/>
      <c r="Q82" s="23"/>
    </row>
    <row r="83" spans="1:21" x14ac:dyDescent="0.2">
      <c r="A83" s="1040"/>
      <c r="B83" s="1041"/>
      <c r="C83" s="1041"/>
      <c r="D83" s="1041"/>
      <c r="E83" s="1041"/>
      <c r="F83" s="1041"/>
      <c r="G83" s="1041"/>
      <c r="H83" s="1042"/>
      <c r="I83" s="12"/>
      <c r="J83" s="12"/>
      <c r="K83" s="12"/>
      <c r="L83" s="12"/>
      <c r="M83" s="12"/>
      <c r="N83" s="12"/>
      <c r="O83" s="23"/>
      <c r="P83" s="23"/>
      <c r="Q83" s="23"/>
    </row>
    <row r="84" spans="1:21" x14ac:dyDescent="0.2">
      <c r="A84" s="1043"/>
      <c r="B84" s="1044"/>
      <c r="C84" s="1044"/>
      <c r="D84" s="1044"/>
      <c r="E84" s="1044"/>
      <c r="F84" s="1044"/>
      <c r="G84" s="1044"/>
      <c r="H84" s="1045"/>
      <c r="I84" s="10"/>
      <c r="J84" s="10"/>
      <c r="K84" s="10"/>
      <c r="L84" s="10"/>
      <c r="M84" s="10"/>
      <c r="N84" s="9"/>
      <c r="O84" s="9"/>
      <c r="P84" s="9"/>
      <c r="Q84" s="23"/>
    </row>
    <row r="85" spans="1:21" ht="28.5" customHeight="1" x14ac:dyDescent="0.2">
      <c r="A85" s="864"/>
      <c r="B85" s="864"/>
      <c r="C85" s="2"/>
      <c r="D85" s="901"/>
      <c r="E85" s="901"/>
      <c r="F85" s="2"/>
      <c r="I85" s="10"/>
      <c r="J85" s="10"/>
      <c r="K85" s="10"/>
      <c r="L85" s="10"/>
      <c r="M85" s="10"/>
      <c r="N85" s="9"/>
      <c r="O85" s="9"/>
      <c r="P85" s="9"/>
      <c r="Q85" s="23"/>
    </row>
    <row r="86" spans="1:21" s="1" customFormat="1" ht="36" customHeight="1" x14ac:dyDescent="0.2">
      <c r="A86" s="866"/>
      <c r="B86" s="866"/>
      <c r="C86" s="7"/>
      <c r="D86" s="6"/>
      <c r="F86" s="2"/>
      <c r="N86"/>
      <c r="O86"/>
      <c r="P86"/>
      <c r="Q86" s="22"/>
      <c r="R86" s="22"/>
      <c r="S86" s="22"/>
      <c r="T86"/>
      <c r="U86"/>
    </row>
    <row r="87" spans="1:21" s="1" customFormat="1" ht="72" customHeight="1" x14ac:dyDescent="0.2">
      <c r="A87" s="864"/>
      <c r="B87" s="864"/>
      <c r="C87" s="4"/>
      <c r="D87" s="6"/>
      <c r="F87" s="4"/>
      <c r="N87"/>
      <c r="O87"/>
      <c r="P87"/>
      <c r="Q87" s="22"/>
      <c r="R87" s="22"/>
      <c r="S87" s="22"/>
      <c r="T87"/>
      <c r="U87"/>
    </row>
    <row r="88" spans="1:21" s="1" customFormat="1" x14ac:dyDescent="0.2">
      <c r="A88" s="865"/>
      <c r="B88" s="865"/>
      <c r="C88" s="2"/>
      <c r="D88" s="8"/>
      <c r="F88" s="2"/>
      <c r="N88"/>
      <c r="O88"/>
      <c r="P88"/>
      <c r="Q88" s="22"/>
      <c r="R88" s="22"/>
      <c r="S88" s="22"/>
      <c r="T88"/>
      <c r="U88"/>
    </row>
    <row r="89" spans="1:21" s="1" customFormat="1" ht="46.5" customHeight="1" x14ac:dyDescent="0.2">
      <c r="A89"/>
      <c r="F89" s="2"/>
      <c r="N89"/>
      <c r="O89"/>
      <c r="P89"/>
      <c r="Q89" s="22"/>
      <c r="R89" s="22"/>
      <c r="S89" s="22"/>
      <c r="T89"/>
      <c r="U89"/>
    </row>
    <row r="90" spans="1:21" s="1" customFormat="1" ht="50.25" customHeight="1" x14ac:dyDescent="0.2">
      <c r="A90" s="864"/>
      <c r="B90" s="864"/>
      <c r="C90" s="4"/>
      <c r="D90" s="5"/>
      <c r="N90"/>
      <c r="O90"/>
      <c r="P90"/>
      <c r="Q90" s="22"/>
      <c r="R90" s="22"/>
      <c r="S90" s="22"/>
      <c r="T90"/>
      <c r="U90"/>
    </row>
    <row r="91" spans="1:21" s="1" customFormat="1" x14ac:dyDescent="0.2">
      <c r="A91" s="894"/>
      <c r="B91" s="894"/>
      <c r="N91"/>
      <c r="O91"/>
      <c r="P91"/>
      <c r="Q91" s="22"/>
      <c r="R91" s="22"/>
      <c r="S91" s="22"/>
      <c r="T91"/>
      <c r="U91"/>
    </row>
    <row r="92" spans="1:21" s="1" customFormat="1" x14ac:dyDescent="0.2">
      <c r="A92" s="584"/>
      <c r="B92" s="584"/>
      <c r="N92"/>
      <c r="O92"/>
      <c r="P92"/>
      <c r="Q92" s="22"/>
      <c r="R92" s="22"/>
      <c r="S92" s="22"/>
      <c r="T92"/>
      <c r="U92"/>
    </row>
    <row r="93" spans="1:21" s="1" customFormat="1" ht="28.5" customHeight="1" x14ac:dyDescent="0.2">
      <c r="A93" s="893"/>
      <c r="B93" s="893"/>
      <c r="C93" s="12"/>
      <c r="D93" s="13"/>
      <c r="F93" s="2"/>
      <c r="N93"/>
      <c r="O93"/>
      <c r="P93"/>
      <c r="Q93" s="22"/>
      <c r="R93" s="22"/>
      <c r="S93" s="22"/>
      <c r="T93"/>
      <c r="U93"/>
    </row>
    <row r="94" spans="1:21" s="1" customFormat="1" ht="29.25" customHeight="1" x14ac:dyDescent="0.2">
      <c r="A94" s="866"/>
      <c r="B94" s="867"/>
      <c r="C94" s="14"/>
      <c r="D94" s="15"/>
      <c r="F94" s="2"/>
      <c r="G94" s="2"/>
      <c r="H94" s="6"/>
      <c r="N94"/>
      <c r="O94"/>
      <c r="P94"/>
      <c r="Q94" s="22"/>
      <c r="R94" s="22"/>
      <c r="S94" s="22"/>
      <c r="T94"/>
      <c r="U94"/>
    </row>
    <row r="95" spans="1:21" s="1" customFormat="1" x14ac:dyDescent="0.2">
      <c r="A95" s="865"/>
      <c r="B95" s="892"/>
      <c r="C95" s="16"/>
      <c r="D95" s="17"/>
      <c r="F95" s="2"/>
      <c r="H95" s="6"/>
      <c r="N95"/>
      <c r="O95"/>
      <c r="P95"/>
      <c r="Q95" s="22"/>
      <c r="R95" s="22"/>
      <c r="S95" s="22"/>
      <c r="T95"/>
      <c r="U95"/>
    </row>
    <row r="96" spans="1:21" s="1" customFormat="1" ht="27.75" customHeight="1" x14ac:dyDescent="0.2">
      <c r="A96" s="866"/>
      <c r="B96" s="867"/>
      <c r="C96" s="14"/>
      <c r="D96" s="18"/>
      <c r="F96" s="4"/>
      <c r="H96" s="6"/>
      <c r="N96"/>
      <c r="O96"/>
      <c r="P96"/>
      <c r="Q96" s="22"/>
      <c r="R96" s="22"/>
      <c r="S96" s="22"/>
      <c r="T96"/>
      <c r="U96"/>
    </row>
    <row r="97" spans="1:21" s="1" customFormat="1" x14ac:dyDescent="0.2">
      <c r="A97" s="584"/>
      <c r="B97" s="584"/>
      <c r="C97" s="12"/>
      <c r="D97" s="12"/>
      <c r="N97"/>
      <c r="O97"/>
      <c r="P97"/>
      <c r="Q97" s="22"/>
      <c r="R97" s="22"/>
      <c r="S97" s="22"/>
      <c r="T97"/>
      <c r="U97"/>
    </row>
    <row r="98" spans="1:21" s="1" customFormat="1" x14ac:dyDescent="0.2">
      <c r="A98" s="584"/>
      <c r="B98" s="584"/>
      <c r="N98"/>
      <c r="O98"/>
      <c r="P98"/>
      <c r="Q98" s="22"/>
      <c r="R98" s="22"/>
      <c r="S98" s="22"/>
      <c r="T98"/>
      <c r="U98"/>
    </row>
  </sheetData>
  <dataConsolidate/>
  <mergeCells count="201">
    <mergeCell ref="B11:C11"/>
    <mergeCell ref="E11:F11"/>
    <mergeCell ref="G11:H11"/>
    <mergeCell ref="A5:B5"/>
    <mergeCell ref="C5:H5"/>
    <mergeCell ref="A6:B6"/>
    <mergeCell ref="C6:H6"/>
    <mergeCell ref="A7:B7"/>
    <mergeCell ref="C7:H7"/>
    <mergeCell ref="A8:H8"/>
    <mergeCell ref="A9:H9"/>
    <mergeCell ref="A10:H10"/>
    <mergeCell ref="A20:E20"/>
    <mergeCell ref="G20:H20"/>
    <mergeCell ref="A21:E21"/>
    <mergeCell ref="G21:H21"/>
    <mergeCell ref="B12:C12"/>
    <mergeCell ref="E12:F12"/>
    <mergeCell ref="G12:H12"/>
    <mergeCell ref="B13:C13"/>
    <mergeCell ref="E13:F13"/>
    <mergeCell ref="G13:H13"/>
    <mergeCell ref="B14:C14"/>
    <mergeCell ref="E14:F14"/>
    <mergeCell ref="G14:H14"/>
    <mergeCell ref="B15:C15"/>
    <mergeCell ref="E15:F15"/>
    <mergeCell ref="G15:H15"/>
    <mergeCell ref="B16:C16"/>
    <mergeCell ref="E16:F16"/>
    <mergeCell ref="G16:H16"/>
    <mergeCell ref="B17:D17"/>
    <mergeCell ref="E17:F17"/>
    <mergeCell ref="G17:H17"/>
    <mergeCell ref="A18:H18"/>
    <mergeCell ref="A19:E19"/>
    <mergeCell ref="G19:H19"/>
    <mergeCell ref="A34:B34"/>
    <mergeCell ref="C34:D34"/>
    <mergeCell ref="E34:F34"/>
    <mergeCell ref="G34:H34"/>
    <mergeCell ref="A22:E22"/>
    <mergeCell ref="G22:H22"/>
    <mergeCell ref="A23:E23"/>
    <mergeCell ref="G23:H23"/>
    <mergeCell ref="A24:E24"/>
    <mergeCell ref="G24:H24"/>
    <mergeCell ref="G25:H25"/>
    <mergeCell ref="A26:E26"/>
    <mergeCell ref="G26:H26"/>
    <mergeCell ref="A27:E27"/>
    <mergeCell ref="G27:H27"/>
    <mergeCell ref="A28:E28"/>
    <mergeCell ref="G28:H28"/>
    <mergeCell ref="A29:E29"/>
    <mergeCell ref="G29:H29"/>
    <mergeCell ref="A30:H30"/>
    <mergeCell ref="A31:H31"/>
    <mergeCell ref="A32:B33"/>
    <mergeCell ref="C32:H32"/>
    <mergeCell ref="K32:L32"/>
    <mergeCell ref="C33:H33"/>
    <mergeCell ref="K33:L33"/>
    <mergeCell ref="A42:B42"/>
    <mergeCell ref="C42:D42"/>
    <mergeCell ref="E42:F42"/>
    <mergeCell ref="G42:H42"/>
    <mergeCell ref="A35:B35"/>
    <mergeCell ref="C35:D35"/>
    <mergeCell ref="E35:F35"/>
    <mergeCell ref="G35:H35"/>
    <mergeCell ref="A36:B36"/>
    <mergeCell ref="C36:D36"/>
    <mergeCell ref="E36:F36"/>
    <mergeCell ref="G36:H36"/>
    <mergeCell ref="A37:B37"/>
    <mergeCell ref="C37:D37"/>
    <mergeCell ref="E37:F37"/>
    <mergeCell ref="G37:H37"/>
    <mergeCell ref="A38:B38"/>
    <mergeCell ref="C38:D38"/>
    <mergeCell ref="E38:F38"/>
    <mergeCell ref="G38:H38"/>
    <mergeCell ref="A39:B39"/>
    <mergeCell ref="A46:B46"/>
    <mergeCell ref="C46:D46"/>
    <mergeCell ref="E46:F46"/>
    <mergeCell ref="G46:H46"/>
    <mergeCell ref="A47:B47"/>
    <mergeCell ref="C47:D47"/>
    <mergeCell ref="E47:F47"/>
    <mergeCell ref="G47:H47"/>
    <mergeCell ref="C39:D39"/>
    <mergeCell ref="E39:F39"/>
    <mergeCell ref="G39:H39"/>
    <mergeCell ref="A40:B40"/>
    <mergeCell ref="C40:D40"/>
    <mergeCell ref="E40:F40"/>
    <mergeCell ref="G40:H40"/>
    <mergeCell ref="A41:B41"/>
    <mergeCell ref="C41:D41"/>
    <mergeCell ref="E41:F41"/>
    <mergeCell ref="G41:H41"/>
    <mergeCell ref="A43:B43"/>
    <mergeCell ref="C43:D43"/>
    <mergeCell ref="E43:F43"/>
    <mergeCell ref="G43:H43"/>
    <mergeCell ref="A44:B44"/>
    <mergeCell ref="C44:D44"/>
    <mergeCell ref="E44:F44"/>
    <mergeCell ref="G44:H44"/>
    <mergeCell ref="A45:B45"/>
    <mergeCell ref="C45:D45"/>
    <mergeCell ref="E45:F45"/>
    <mergeCell ref="G45:H45"/>
    <mergeCell ref="A48:B48"/>
    <mergeCell ref="C48:D48"/>
    <mergeCell ref="E48:F48"/>
    <mergeCell ref="G48:H48"/>
    <mergeCell ref="A49:B49"/>
    <mergeCell ref="C49:D49"/>
    <mergeCell ref="E49:F49"/>
    <mergeCell ref="G49:H49"/>
    <mergeCell ref="A58:H58"/>
    <mergeCell ref="G55:H55"/>
    <mergeCell ref="A56:B56"/>
    <mergeCell ref="C56:D56"/>
    <mergeCell ref="E56:F56"/>
    <mergeCell ref="G56:H56"/>
    <mergeCell ref="A57:H57"/>
    <mergeCell ref="A50:B50"/>
    <mergeCell ref="C50:D50"/>
    <mergeCell ref="E50:F50"/>
    <mergeCell ref="G50:H50"/>
    <mergeCell ref="E59:F59"/>
    <mergeCell ref="G59:H59"/>
    <mergeCell ref="A60:D60"/>
    <mergeCell ref="E60:F60"/>
    <mergeCell ref="G60:H60"/>
    <mergeCell ref="A51:B51"/>
    <mergeCell ref="C51:D51"/>
    <mergeCell ref="E51:F51"/>
    <mergeCell ref="G51:H51"/>
    <mergeCell ref="A52:B52"/>
    <mergeCell ref="C52:D52"/>
    <mergeCell ref="E52:F52"/>
    <mergeCell ref="G52:H52"/>
    <mergeCell ref="A53:B53"/>
    <mergeCell ref="C53:D53"/>
    <mergeCell ref="E53:F53"/>
    <mergeCell ref="G53:H53"/>
    <mergeCell ref="A54:B54"/>
    <mergeCell ref="C54:D54"/>
    <mergeCell ref="E54:F54"/>
    <mergeCell ref="G54:H54"/>
    <mergeCell ref="A55:B55"/>
    <mergeCell ref="C55:D55"/>
    <mergeCell ref="E55:F55"/>
    <mergeCell ref="I71:K71"/>
    <mergeCell ref="A73:H73"/>
    <mergeCell ref="A74:H84"/>
    <mergeCell ref="A85:B85"/>
    <mergeCell ref="D85:E85"/>
    <mergeCell ref="L60:N71"/>
    <mergeCell ref="A61:D61"/>
    <mergeCell ref="E61:F61"/>
    <mergeCell ref="G61:H61"/>
    <mergeCell ref="A62:D63"/>
    <mergeCell ref="E62:H62"/>
    <mergeCell ref="E63:H63"/>
    <mergeCell ref="A64:D64"/>
    <mergeCell ref="E64:F64"/>
    <mergeCell ref="G64:H64"/>
    <mergeCell ref="A65:D65"/>
    <mergeCell ref="E65:F65"/>
    <mergeCell ref="A66:D66"/>
    <mergeCell ref="E66:H66"/>
    <mergeCell ref="A67:D67"/>
    <mergeCell ref="E67:F67"/>
    <mergeCell ref="G67:H67"/>
    <mergeCell ref="A96:B96"/>
    <mergeCell ref="A97:B97"/>
    <mergeCell ref="A98:B98"/>
    <mergeCell ref="A68:D68"/>
    <mergeCell ref="E68:F68"/>
    <mergeCell ref="G68:H68"/>
    <mergeCell ref="A69:D69"/>
    <mergeCell ref="E69:H69"/>
    <mergeCell ref="A70:D70"/>
    <mergeCell ref="E70:H70"/>
    <mergeCell ref="A71:F71"/>
    <mergeCell ref="G71:H71"/>
    <mergeCell ref="A86:B86"/>
    <mergeCell ref="A87:B87"/>
    <mergeCell ref="A88:B88"/>
    <mergeCell ref="A90:B90"/>
    <mergeCell ref="A91:B91"/>
    <mergeCell ref="A92:B92"/>
    <mergeCell ref="A93:B93"/>
    <mergeCell ref="A94:B94"/>
    <mergeCell ref="A95:B95"/>
  </mergeCells>
  <conditionalFormatting sqref="E36:E56 G36:G56">
    <cfRule type="cellIs" dxfId="7" priority="3" stopIfTrue="1" operator="lessThan">
      <formula>0.0000001</formula>
    </cfRule>
  </conditionalFormatting>
  <conditionalFormatting sqref="E63:H63">
    <cfRule type="containsText" dxfId="6" priority="1" stopIfTrue="1" operator="containsText" text="ACHTUNG! Gewählte Stauhöhe zu gering!">
      <formula>NOT(ISERROR(SEARCH("ACHTUNG! Gewählte Stauhöhe zu gering!",E63)))</formula>
    </cfRule>
    <cfRule type="containsText" dxfId="5" priority="2" stopIfTrue="1" operator="containsText" text="Stauhöhe OK.">
      <formula>NOT(ISERROR(SEARCH("Stauhöhe OK.",E63)))</formula>
    </cfRule>
  </conditionalFormatting>
  <dataValidations count="14">
    <dataValidation allowBlank="1" showErrorMessage="1" promptTitle="Bodenart kf [m/s]" prompt="Kies 1*10-1 - 1*10-3_x000a_sandiger Kies 1*10-3 - 1*10-4_x000a_Mittelsand 1*10-3 bis 1*10-5_x000a_humoser Oberboden 1*10-3 - 1*10-6_x000a_schluffiger Sand 1*10-5 - 1*10-7_x000a_Schluff 1*10-6 - 1*10-9_x000a_toniger Schluff 1*10-7 - 1*10-11_x000a__x000a_" sqref="G19:H29" xr:uid="{00000000-0002-0000-0900-000000000000}"/>
    <dataValidation operator="greaterThanOrEqual" allowBlank="1" error="Wert ist zu klein." sqref="E63:H63" xr:uid="{00000000-0002-0000-0900-000001000000}"/>
    <dataValidation type="decimal" operator="greaterThanOrEqual" allowBlank="1" showErrorMessage="1" error="Wert ist zu klein." sqref="E62" xr:uid="{00000000-0002-0000-0900-000002000000}">
      <formula1>MAX(E61,G61)</formula1>
    </dataValidation>
    <dataValidation allowBlank="1" showErrorMessage="1" promptTitle="Formel" prompt="Maximum von Vs" sqref="E60:F61" xr:uid="{00000000-0002-0000-0900-000003000000}"/>
    <dataValidation operator="equal" sqref="C33" xr:uid="{00000000-0002-0000-0900-000004000000}"/>
    <dataValidation allowBlank="1" showErrorMessage="1" promptTitle="Formel" prompt="qv = kf * β * D * (As / Aent) * 60.000" sqref="R35" xr:uid="{00000000-0002-0000-0900-000005000000}"/>
    <dataValidation allowBlank="1" showInputMessage="1" showErrorMessage="1" promptTitle="An" prompt="Horizontalprojektion der jeweiligen Teilentwässerungsfläche in [m²]" sqref="E11" xr:uid="{00000000-0002-0000-0900-000006000000}"/>
    <dataValidation allowBlank="1" showErrorMessage="1" sqref="I31:I38 K35:K38 L31:N38 J31:K33 J34:J38" xr:uid="{00000000-0002-0000-0900-000007000000}"/>
    <dataValidation allowBlank="1" showInputMessage="1" showErrorMessage="1" promptTitle="Formel" prompt="qv = kf * β * D * (As / Aent) * 60.000" sqref="S35" xr:uid="{00000000-0002-0000-0900-000008000000}"/>
    <dataValidation allowBlank="1" showErrorMessage="1" prompt="aus ehyd-Datenbank" sqref="C34" xr:uid="{00000000-0002-0000-0900-000009000000}"/>
    <dataValidation allowBlank="1" showErrorMessage="1" promptTitle="Formel" prompt="Vs = (qs * Aent) / 1.000_x000a_Speichervolumen = (Versickerungsrate * abflusswirksame Gesamtfläche) / 1.000" sqref="E34" xr:uid="{00000000-0002-0000-0900-00000A000000}"/>
    <dataValidation allowBlank="1" showErrorMessage="1" promptTitle="Formel" prompt="Vs = (qs * Aent) / 1.000" sqref="E35" xr:uid="{00000000-0002-0000-0900-00000B000000}"/>
    <dataValidation allowBlank="1" showErrorMessage="1" promptTitle="Formel" prompt="As*kf*1000" sqref="E67:E69 J67:J69" xr:uid="{00000000-0002-0000-0900-00000C000000}"/>
    <dataValidation allowBlank="1" showErrorMessage="1" promptTitle="Formel" prompt="Konsensmenge pro Tag [l/m²] * 3,6 * 24_x000a_" sqref="E70" xr:uid="{00000000-0002-0000-0900-00000D000000}"/>
  </dataValidations>
  <pageMargins left="0.7" right="0.7" top="0.75" bottom="0.36458333333333331" header="0.3" footer="0.3"/>
  <pageSetup paperSize="9" orientation="portrait" horizontalDpi="4294967293" r:id="rId1"/>
  <headerFooter alignWithMargins="0">
    <oddHeader>&amp;C&amp;"Arial,Fett"&amp;16SICKERSCHACHT</oddHeader>
    <oddFooter>&amp;R&amp;8Seite &amp;P von 2</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3">
    <tabColor rgb="FF92D050"/>
  </sheetPr>
  <dimension ref="A1:T92"/>
  <sheetViews>
    <sheetView showGridLines="0" topLeftCell="A3" zoomScaleNormal="100" workbookViewId="0">
      <selection activeCell="C6" sqref="C6:H6"/>
    </sheetView>
  </sheetViews>
  <sheetFormatPr baseColWidth="10" defaultRowHeight="12.75" x14ac:dyDescent="0.2"/>
  <cols>
    <col min="1" max="1" width="12.7109375" customWidth="1"/>
    <col min="2" max="2" width="13.28515625" style="1" customWidth="1"/>
    <col min="3" max="8" width="10.42578125" style="1" customWidth="1"/>
    <col min="9" max="9" width="7.85546875" style="1" customWidth="1"/>
    <col min="10" max="13" width="28.140625" style="1" customWidth="1"/>
    <col min="14" max="14" width="28.140625" customWidth="1"/>
    <col min="15" max="16" width="28.42578125" customWidth="1"/>
    <col min="17" max="17" width="28.42578125" style="262" customWidth="1"/>
    <col min="18" max="18" width="16.85546875" style="262" bestFit="1" customWidth="1"/>
    <col min="19" max="19" width="18.5703125" style="262" bestFit="1" customWidth="1"/>
  </cols>
  <sheetData>
    <row r="1" spans="1:19" ht="11.25" hidden="1" customHeight="1" x14ac:dyDescent="0.2">
      <c r="A1" s="895" t="s">
        <v>107</v>
      </c>
      <c r="B1" s="896"/>
      <c r="C1" s="896"/>
      <c r="D1" s="896"/>
      <c r="E1" s="896"/>
      <c r="F1" s="896"/>
      <c r="G1" s="896"/>
      <c r="H1" s="896"/>
      <c r="I1" s="896"/>
      <c r="J1" s="896"/>
      <c r="K1" s="896"/>
      <c r="L1" s="896"/>
      <c r="M1" s="896"/>
      <c r="N1" s="897"/>
      <c r="O1" s="21" t="s">
        <v>107</v>
      </c>
    </row>
    <row r="2" spans="1:19" ht="7.5" hidden="1" customHeight="1" thickBot="1" x14ac:dyDescent="0.25">
      <c r="A2" s="898"/>
      <c r="B2" s="899"/>
      <c r="C2" s="899"/>
      <c r="D2" s="899"/>
      <c r="E2" s="899"/>
      <c r="F2" s="899"/>
      <c r="G2" s="899"/>
      <c r="H2" s="899"/>
      <c r="I2" s="899"/>
      <c r="J2" s="899"/>
      <c r="K2" s="899"/>
      <c r="L2" s="899"/>
      <c r="M2" s="899"/>
      <c r="N2" s="900"/>
    </row>
    <row r="3" spans="1:19" ht="9.75" customHeight="1" thickBot="1" x14ac:dyDescent="0.25">
      <c r="A3" s="164"/>
      <c r="B3" s="164"/>
      <c r="C3" s="164"/>
      <c r="D3" s="164"/>
      <c r="E3" s="164"/>
      <c r="F3" s="164"/>
      <c r="G3" s="164"/>
      <c r="H3" s="165" t="str">
        <f>Einführung!L4</f>
        <v>v01.15</v>
      </c>
      <c r="I3" s="85"/>
      <c r="J3" s="85"/>
      <c r="K3" s="85"/>
      <c r="L3" s="85"/>
      <c r="M3" s="85"/>
      <c r="N3" s="85"/>
      <c r="O3" s="23"/>
      <c r="P3" s="23"/>
    </row>
    <row r="4" spans="1:19" ht="13.5" customHeight="1" x14ac:dyDescent="0.2">
      <c r="A4" s="1014" t="s">
        <v>121</v>
      </c>
      <c r="B4" s="1015"/>
      <c r="C4" s="1016" t="str">
        <f>'Bemessungsregendaten, kfu'!E4</f>
        <v>Testprojekt</v>
      </c>
      <c r="D4" s="1016"/>
      <c r="E4" s="1016"/>
      <c r="F4" s="1016"/>
      <c r="G4" s="1016"/>
      <c r="H4" s="1017"/>
      <c r="I4" s="85"/>
      <c r="J4" s="85"/>
      <c r="K4" s="85"/>
      <c r="L4" s="85"/>
      <c r="M4" s="85"/>
      <c r="N4" s="85"/>
      <c r="O4" s="23"/>
      <c r="P4" s="23"/>
    </row>
    <row r="5" spans="1:19" ht="13.5" customHeight="1" x14ac:dyDescent="0.2">
      <c r="A5" s="1018" t="s">
        <v>119</v>
      </c>
      <c r="B5" s="1019"/>
      <c r="C5" s="1020" t="str">
        <f>'Bemessungsregendaten, kfu'!E5</f>
        <v>Max Mustermann</v>
      </c>
      <c r="D5" s="1020"/>
      <c r="E5" s="1020"/>
      <c r="F5" s="1020"/>
      <c r="G5" s="1020"/>
      <c r="H5" s="1021"/>
      <c r="I5" s="85"/>
      <c r="J5" s="85"/>
      <c r="K5" s="85"/>
      <c r="L5" s="85"/>
      <c r="M5" s="85"/>
      <c r="N5" s="85"/>
      <c r="O5" s="23"/>
      <c r="P5" s="23"/>
    </row>
    <row r="6" spans="1:19" ht="13.5" customHeight="1" thickBot="1" x14ac:dyDescent="0.25">
      <c r="A6" s="1022" t="s">
        <v>120</v>
      </c>
      <c r="B6" s="1023"/>
      <c r="C6" s="997" t="str">
        <f>'Bemessungsregendaten, kfu'!E6</f>
        <v>Testprojekt</v>
      </c>
      <c r="D6" s="997"/>
      <c r="E6" s="997"/>
      <c r="F6" s="997"/>
      <c r="G6" s="997"/>
      <c r="H6" s="998"/>
      <c r="I6" s="85"/>
      <c r="J6" s="85"/>
      <c r="K6" s="85"/>
      <c r="L6" s="85"/>
      <c r="M6" s="85"/>
      <c r="N6" s="85"/>
      <c r="O6" s="23"/>
      <c r="P6" s="23"/>
    </row>
    <row r="7" spans="1:19" ht="5.25" customHeight="1" thickBot="1" x14ac:dyDescent="0.25">
      <c r="A7" s="1003"/>
      <c r="B7" s="1003"/>
      <c r="C7" s="1003"/>
      <c r="D7" s="1003"/>
      <c r="E7" s="1003"/>
      <c r="F7" s="1003"/>
      <c r="G7" s="1003"/>
      <c r="H7" s="1003"/>
      <c r="I7" s="54"/>
      <c r="J7" s="54"/>
      <c r="K7" s="54"/>
      <c r="L7" s="54"/>
      <c r="M7" s="54"/>
      <c r="N7" s="54"/>
      <c r="O7" s="23"/>
      <c r="P7" s="23"/>
    </row>
    <row r="8" spans="1:19" ht="12" customHeight="1" thickBot="1" x14ac:dyDescent="0.25">
      <c r="A8" s="973" t="s">
        <v>106</v>
      </c>
      <c r="B8" s="974"/>
      <c r="C8" s="974"/>
      <c r="D8" s="974"/>
      <c r="E8" s="974"/>
      <c r="F8" s="974"/>
      <c r="G8" s="974"/>
      <c r="H8" s="975"/>
      <c r="I8" s="55"/>
      <c r="J8" s="55"/>
      <c r="K8" s="55"/>
      <c r="L8" s="55"/>
      <c r="M8" s="55"/>
      <c r="N8" s="55"/>
      <c r="O8" s="23"/>
      <c r="P8" s="23"/>
    </row>
    <row r="9" spans="1:19" ht="13.5" thickBot="1" x14ac:dyDescent="0.25">
      <c r="A9" s="999" t="s">
        <v>141</v>
      </c>
      <c r="B9" s="1000"/>
      <c r="C9" s="1000"/>
      <c r="D9" s="1000"/>
      <c r="E9" s="1000"/>
      <c r="F9" s="1000"/>
      <c r="G9" s="1000"/>
      <c r="H9" s="1001"/>
      <c r="I9" s="54"/>
      <c r="J9" s="54"/>
      <c r="K9" s="54"/>
      <c r="L9" s="54"/>
      <c r="M9" s="54"/>
      <c r="N9" s="54"/>
      <c r="O9" s="23"/>
      <c r="P9" s="23"/>
    </row>
    <row r="10" spans="1:19" s="32" customFormat="1" ht="25.5" customHeight="1" thickBot="1" x14ac:dyDescent="0.25">
      <c r="A10" s="162" t="s">
        <v>261</v>
      </c>
      <c r="B10" s="1184" t="s">
        <v>23</v>
      </c>
      <c r="C10" s="1185"/>
      <c r="D10" s="161" t="s">
        <v>127</v>
      </c>
      <c r="E10" s="1024" t="s">
        <v>123</v>
      </c>
      <c r="F10" s="1181"/>
      <c r="G10" s="1024" t="s">
        <v>124</v>
      </c>
      <c r="H10" s="1025"/>
      <c r="I10" s="51"/>
      <c r="J10" s="56"/>
      <c r="K10" s="56"/>
      <c r="L10" s="56"/>
      <c r="M10" s="56"/>
      <c r="N10" s="56"/>
      <c r="O10" s="56"/>
      <c r="P10" s="56"/>
      <c r="Q10" s="263"/>
      <c r="R10" s="263"/>
      <c r="S10" s="263"/>
    </row>
    <row r="11" spans="1:19" s="32" customFormat="1" ht="10.5" customHeight="1" x14ac:dyDescent="0.2">
      <c r="A11" s="315" t="s">
        <v>57</v>
      </c>
      <c r="B11" s="1159" t="s">
        <v>210</v>
      </c>
      <c r="C11" s="1159"/>
      <c r="D11" s="107">
        <v>1</v>
      </c>
      <c r="E11" s="1154">
        <v>500</v>
      </c>
      <c r="F11" s="1155"/>
      <c r="G11" s="1182">
        <f>D11*E11</f>
        <v>500</v>
      </c>
      <c r="H11" s="1183"/>
      <c r="I11" s="52"/>
      <c r="J11" s="56"/>
      <c r="K11" s="56"/>
      <c r="L11" s="56"/>
      <c r="M11" s="56"/>
      <c r="N11" s="56"/>
      <c r="O11" s="56"/>
      <c r="P11" s="56"/>
      <c r="Q11" s="263"/>
      <c r="R11" s="263"/>
      <c r="S11" s="263"/>
    </row>
    <row r="12" spans="1:19" s="32" customFormat="1" ht="10.5" customHeight="1" x14ac:dyDescent="0.2">
      <c r="A12" s="149" t="s">
        <v>58</v>
      </c>
      <c r="B12" s="1159"/>
      <c r="C12" s="1159"/>
      <c r="D12" s="107"/>
      <c r="E12" s="1154"/>
      <c r="F12" s="1155"/>
      <c r="G12" s="1151">
        <f>D12*E12</f>
        <v>0</v>
      </c>
      <c r="H12" s="1152"/>
      <c r="I12" s="52"/>
      <c r="J12" s="56"/>
      <c r="K12" s="56"/>
      <c r="L12" s="56"/>
      <c r="M12" s="56"/>
      <c r="N12" s="56"/>
      <c r="O12" s="56"/>
      <c r="P12" s="56"/>
      <c r="Q12" s="263"/>
      <c r="R12" s="263"/>
      <c r="S12" s="263"/>
    </row>
    <row r="13" spans="1:19" s="32" customFormat="1" ht="10.5" customHeight="1" x14ac:dyDescent="0.2">
      <c r="A13" s="149" t="s">
        <v>59</v>
      </c>
      <c r="B13" s="1159"/>
      <c r="C13" s="1159"/>
      <c r="D13" s="107"/>
      <c r="E13" s="1154"/>
      <c r="F13" s="1155"/>
      <c r="G13" s="1151">
        <f>D13*E13</f>
        <v>0</v>
      </c>
      <c r="H13" s="1152"/>
      <c r="I13" s="52"/>
      <c r="J13" s="56"/>
      <c r="K13" s="56"/>
      <c r="L13" s="56"/>
      <c r="M13" s="56"/>
      <c r="N13" s="56"/>
      <c r="O13" s="56"/>
      <c r="P13" s="56"/>
      <c r="Q13" s="263"/>
      <c r="R13" s="263"/>
      <c r="S13" s="263"/>
    </row>
    <row r="14" spans="1:19" s="32" customFormat="1" ht="10.5" customHeight="1" x14ac:dyDescent="0.2">
      <c r="A14" s="149" t="s">
        <v>60</v>
      </c>
      <c r="B14" s="1159"/>
      <c r="C14" s="1159"/>
      <c r="D14" s="107"/>
      <c r="E14" s="1154"/>
      <c r="F14" s="1155"/>
      <c r="G14" s="1151">
        <f>D14*E14</f>
        <v>0</v>
      </c>
      <c r="H14" s="1152"/>
      <c r="I14" s="52"/>
      <c r="J14" s="56"/>
      <c r="K14" s="56"/>
      <c r="L14" s="56"/>
      <c r="M14" s="56"/>
      <c r="N14" s="56"/>
      <c r="O14" s="56"/>
      <c r="P14" s="56"/>
      <c r="Q14" s="263"/>
      <c r="R14" s="263"/>
      <c r="S14" s="263"/>
    </row>
    <row r="15" spans="1:19" s="32" customFormat="1" ht="10.5" customHeight="1" thickBot="1" x14ac:dyDescent="0.25">
      <c r="A15" s="149" t="s">
        <v>61</v>
      </c>
      <c r="B15" s="1159"/>
      <c r="C15" s="1159"/>
      <c r="D15" s="107"/>
      <c r="E15" s="1154"/>
      <c r="F15" s="1155"/>
      <c r="G15" s="1171">
        <f>D15*E15</f>
        <v>0</v>
      </c>
      <c r="H15" s="1172"/>
      <c r="I15" s="52"/>
      <c r="J15" s="56"/>
      <c r="K15" s="56"/>
      <c r="L15" s="56"/>
      <c r="M15" s="56"/>
      <c r="N15" s="56"/>
      <c r="O15" s="56"/>
      <c r="P15" s="56"/>
      <c r="Q15" s="263"/>
      <c r="R15" s="263"/>
      <c r="S15" s="263"/>
    </row>
    <row r="16" spans="1:19" ht="13.5" thickBot="1" x14ac:dyDescent="0.25">
      <c r="A16" s="166"/>
      <c r="B16" s="1160" t="s">
        <v>128</v>
      </c>
      <c r="C16" s="1161"/>
      <c r="D16" s="1161"/>
      <c r="E16" s="1170">
        <f>SUM(E11:F15)</f>
        <v>500</v>
      </c>
      <c r="F16" s="1161"/>
      <c r="G16" s="1168">
        <f>SUM(G11:H15)</f>
        <v>500</v>
      </c>
      <c r="H16" s="1169"/>
      <c r="I16" s="53"/>
      <c r="J16" s="54"/>
      <c r="K16" s="54"/>
      <c r="L16" s="12"/>
      <c r="M16" s="12"/>
      <c r="N16" s="23"/>
      <c r="O16" s="23"/>
      <c r="P16" s="23"/>
    </row>
    <row r="17" spans="1:20" ht="3.75" customHeight="1" thickBot="1" x14ac:dyDescent="0.25">
      <c r="A17" s="167"/>
      <c r="B17" s="168"/>
      <c r="C17" s="168"/>
      <c r="D17" s="168"/>
      <c r="E17" s="168"/>
      <c r="F17" s="168"/>
      <c r="G17" s="168"/>
      <c r="H17" s="169"/>
      <c r="I17" s="59"/>
      <c r="J17" s="59"/>
      <c r="K17" s="59"/>
      <c r="L17" s="59"/>
      <c r="M17" s="59"/>
      <c r="N17" s="59"/>
      <c r="O17" s="23"/>
      <c r="P17" s="23"/>
    </row>
    <row r="18" spans="1:20" ht="12" customHeight="1" x14ac:dyDescent="0.2">
      <c r="A18" s="1173" t="s">
        <v>221</v>
      </c>
      <c r="B18" s="1174"/>
      <c r="C18" s="1174"/>
      <c r="D18" s="1174"/>
      <c r="E18" s="1174"/>
      <c r="F18" s="153" t="s">
        <v>129</v>
      </c>
      <c r="G18" s="152">
        <v>1E-4</v>
      </c>
      <c r="H18" s="1196"/>
      <c r="I18" s="57"/>
      <c r="J18" s="57"/>
      <c r="K18" s="57"/>
      <c r="L18" s="57"/>
      <c r="M18" s="57"/>
      <c r="N18" s="57"/>
      <c r="O18" s="23"/>
      <c r="P18" s="23"/>
    </row>
    <row r="19" spans="1:20" ht="12" customHeight="1" x14ac:dyDescent="0.2">
      <c r="A19" s="1145" t="s">
        <v>100</v>
      </c>
      <c r="B19" s="1146"/>
      <c r="C19" s="1146"/>
      <c r="D19" s="1146"/>
      <c r="E19" s="1146"/>
      <c r="F19" s="170"/>
      <c r="G19" s="151">
        <v>1</v>
      </c>
      <c r="H19" s="1196"/>
      <c r="I19" s="57"/>
      <c r="J19" s="57"/>
      <c r="K19" s="57"/>
      <c r="L19" s="57"/>
      <c r="M19" s="57"/>
      <c r="N19" s="57"/>
      <c r="O19" s="23"/>
      <c r="P19" s="23"/>
    </row>
    <row r="20" spans="1:20" ht="12" customHeight="1" x14ac:dyDescent="0.2">
      <c r="A20" s="1166" t="s">
        <v>51</v>
      </c>
      <c r="B20" s="1167"/>
      <c r="C20" s="1167"/>
      <c r="D20" s="1167"/>
      <c r="E20" s="1167"/>
      <c r="F20" s="156" t="s">
        <v>66</v>
      </c>
      <c r="G20" s="80">
        <v>0.5</v>
      </c>
      <c r="H20" s="1196"/>
      <c r="I20" s="57"/>
      <c r="J20" s="57"/>
      <c r="K20" s="57"/>
      <c r="L20" s="57"/>
      <c r="M20" s="57"/>
      <c r="N20" s="57"/>
      <c r="O20" s="23"/>
      <c r="P20" s="23"/>
    </row>
    <row r="21" spans="1:20" ht="12" customHeight="1" x14ac:dyDescent="0.2">
      <c r="A21" s="1175" t="s">
        <v>103</v>
      </c>
      <c r="B21" s="1176"/>
      <c r="C21" s="1176"/>
      <c r="D21" s="1176"/>
      <c r="E21" s="1176"/>
      <c r="F21" s="171" t="s">
        <v>177</v>
      </c>
      <c r="G21" s="40">
        <v>66</v>
      </c>
      <c r="H21" s="1196"/>
      <c r="I21" s="57"/>
      <c r="J21" s="57"/>
      <c r="K21" s="57"/>
      <c r="L21" s="57"/>
      <c r="M21" s="57"/>
      <c r="N21" s="57"/>
      <c r="O21" s="23"/>
      <c r="P21" s="23"/>
      <c r="R21" s="264" t="s">
        <v>159</v>
      </c>
      <c r="S21" s="264"/>
    </row>
    <row r="22" spans="1:20" ht="12" customHeight="1" x14ac:dyDescent="0.2">
      <c r="A22" s="1175" t="s">
        <v>104</v>
      </c>
      <c r="B22" s="1176"/>
      <c r="C22" s="1176"/>
      <c r="D22" s="1176"/>
      <c r="E22" s="1176"/>
      <c r="F22" s="155" t="s">
        <v>178</v>
      </c>
      <c r="G22" s="40">
        <v>1</v>
      </c>
      <c r="H22" s="1196"/>
      <c r="I22" s="57"/>
      <c r="J22" s="57"/>
      <c r="K22" s="57"/>
      <c r="L22" s="57"/>
      <c r="M22" s="57"/>
      <c r="N22" s="57"/>
      <c r="O22" s="23"/>
      <c r="P22" s="23"/>
      <c r="R22" s="264" t="s">
        <v>160</v>
      </c>
      <c r="S22" s="264"/>
    </row>
    <row r="23" spans="1:20" x14ac:dyDescent="0.2">
      <c r="A23" s="1175" t="s">
        <v>105</v>
      </c>
      <c r="B23" s="1176"/>
      <c r="C23" s="1176"/>
      <c r="D23" s="1176"/>
      <c r="E23" s="1176"/>
      <c r="F23" s="155" t="s">
        <v>179</v>
      </c>
      <c r="G23" s="40">
        <v>0.5</v>
      </c>
      <c r="H23" s="1196"/>
      <c r="I23" s="76"/>
      <c r="J23" s="76"/>
      <c r="K23" s="76"/>
      <c r="L23" s="76"/>
      <c r="M23" s="76"/>
      <c r="N23" s="76"/>
      <c r="O23" s="23"/>
      <c r="P23" s="23"/>
      <c r="R23" s="264"/>
      <c r="S23" s="264"/>
    </row>
    <row r="24" spans="1:20" ht="26.25" customHeight="1" x14ac:dyDescent="0.2">
      <c r="A24" s="1056" t="s">
        <v>170</v>
      </c>
      <c r="B24" s="1084"/>
      <c r="C24" s="1084"/>
      <c r="D24" s="1084"/>
      <c r="E24" s="1165"/>
      <c r="F24" s="155"/>
      <c r="G24" s="40" t="s">
        <v>159</v>
      </c>
      <c r="H24" s="1196"/>
      <c r="I24" s="76"/>
      <c r="J24" s="76"/>
      <c r="K24" s="76"/>
      <c r="L24" s="76"/>
      <c r="M24" s="76"/>
      <c r="N24" s="76"/>
      <c r="O24" s="23"/>
      <c r="P24" s="23"/>
      <c r="R24" s="264"/>
      <c r="S24" s="264"/>
    </row>
    <row r="25" spans="1:20" ht="24.75" customHeight="1" x14ac:dyDescent="0.2">
      <c r="A25" s="1056" t="s">
        <v>217</v>
      </c>
      <c r="B25" s="1165"/>
      <c r="C25" s="1178"/>
      <c r="D25" s="1179"/>
      <c r="E25" s="1180"/>
      <c r="F25" s="155"/>
      <c r="G25" s="84">
        <v>1</v>
      </c>
      <c r="H25" s="1196"/>
      <c r="I25" s="76"/>
      <c r="J25" s="76"/>
      <c r="K25" s="76"/>
      <c r="L25" s="76"/>
      <c r="M25" s="76"/>
      <c r="N25" s="76"/>
      <c r="O25" s="23"/>
      <c r="P25" s="23"/>
      <c r="R25" s="264"/>
      <c r="S25" s="264"/>
    </row>
    <row r="26" spans="1:20" ht="12" customHeight="1" x14ac:dyDescent="0.2">
      <c r="A26" s="1156" t="s">
        <v>158</v>
      </c>
      <c r="B26" s="1157"/>
      <c r="C26" s="1157"/>
      <c r="D26" s="1157"/>
      <c r="E26" s="1158"/>
      <c r="F26" s="154" t="s">
        <v>157</v>
      </c>
      <c r="G26" s="81">
        <v>0.25</v>
      </c>
      <c r="H26" s="1196"/>
      <c r="I26" s="1177"/>
      <c r="J26" s="1177"/>
      <c r="K26" s="1177"/>
      <c r="L26" s="12"/>
      <c r="M26" s="12"/>
      <c r="N26" s="23"/>
      <c r="O26" s="23"/>
      <c r="P26" s="22"/>
      <c r="R26" s="264"/>
      <c r="S26" s="264"/>
    </row>
    <row r="27" spans="1:20" ht="12" customHeight="1" x14ac:dyDescent="0.25">
      <c r="A27" s="1156" t="s">
        <v>284</v>
      </c>
      <c r="B27" s="1157"/>
      <c r="C27" s="1157"/>
      <c r="D27" s="1157"/>
      <c r="E27" s="1158"/>
      <c r="F27" s="172" t="s">
        <v>287</v>
      </c>
      <c r="G27" s="173">
        <f>IF(G24="nein",G21*G22,G21*(G22+0.5*G23))</f>
        <v>82.5</v>
      </c>
      <c r="H27" s="1196"/>
      <c r="I27" s="77"/>
      <c r="J27" s="77"/>
      <c r="K27" s="77"/>
      <c r="L27" s="77"/>
      <c r="M27" s="78"/>
      <c r="N27" s="79"/>
      <c r="O27" s="23"/>
      <c r="P27" s="22"/>
      <c r="R27" s="264"/>
      <c r="S27" s="264"/>
    </row>
    <row r="28" spans="1:20" ht="3.75" customHeight="1" thickBot="1" x14ac:dyDescent="0.25">
      <c r="A28" s="174"/>
      <c r="B28" s="175"/>
      <c r="C28" s="175"/>
      <c r="D28" s="175"/>
      <c r="E28" s="175"/>
      <c r="F28" s="175"/>
      <c r="G28" s="175"/>
      <c r="H28" s="176"/>
      <c r="I28" s="60"/>
      <c r="J28" s="60"/>
      <c r="K28" s="60"/>
      <c r="L28" s="60"/>
      <c r="M28" s="60"/>
      <c r="N28" s="60"/>
      <c r="O28" s="9"/>
    </row>
    <row r="29" spans="1:20" ht="13.5" customHeight="1" thickBot="1" x14ac:dyDescent="0.25">
      <c r="A29" s="973" t="s">
        <v>68</v>
      </c>
      <c r="B29" s="974"/>
      <c r="C29" s="974"/>
      <c r="D29" s="974"/>
      <c r="E29" s="974"/>
      <c r="F29" s="974"/>
      <c r="G29" s="974"/>
      <c r="H29" s="177"/>
      <c r="I29" s="55"/>
      <c r="J29" s="55"/>
      <c r="K29" s="55"/>
      <c r="L29" s="55"/>
      <c r="M29" s="55"/>
      <c r="N29" s="55"/>
    </row>
    <row r="30" spans="1:20" s="32" customFormat="1" ht="9.9499999999999993" customHeight="1" x14ac:dyDescent="0.2">
      <c r="A30" s="1118" t="s">
        <v>52</v>
      </c>
      <c r="B30" s="1119"/>
      <c r="C30" s="1209" t="s">
        <v>52</v>
      </c>
      <c r="D30" s="1210"/>
      <c r="E30" s="1210"/>
      <c r="F30" s="1210"/>
      <c r="G30" s="1210"/>
      <c r="H30" s="1211"/>
      <c r="I30" s="44"/>
      <c r="J30" s="44"/>
      <c r="K30" s="912"/>
      <c r="L30" s="912"/>
      <c r="M30" s="44"/>
      <c r="N30" s="44"/>
      <c r="Q30" s="263"/>
      <c r="R30" s="263"/>
      <c r="S30" s="265"/>
      <c r="T30" s="34"/>
    </row>
    <row r="31" spans="1:20" s="32" customFormat="1" ht="13.5" customHeight="1" x14ac:dyDescent="0.2">
      <c r="A31" s="1120"/>
      <c r="B31" s="1121"/>
      <c r="C31" s="1162">
        <v>5</v>
      </c>
      <c r="D31" s="1163"/>
      <c r="E31" s="1163"/>
      <c r="F31" s="1163"/>
      <c r="G31" s="1163"/>
      <c r="H31" s="1164"/>
      <c r="I31" s="45"/>
      <c r="J31" s="46"/>
      <c r="K31" s="913"/>
      <c r="L31" s="913"/>
      <c r="M31" s="45"/>
      <c r="N31" s="45"/>
      <c r="O31" s="41"/>
      <c r="Q31" s="263"/>
      <c r="R31" s="266" t="s">
        <v>125</v>
      </c>
      <c r="S31" s="266"/>
    </row>
    <row r="32" spans="1:20" s="39" customFormat="1" ht="33.75" customHeight="1" x14ac:dyDescent="0.2">
      <c r="A32" s="1114" t="s">
        <v>1</v>
      </c>
      <c r="B32" s="1115"/>
      <c r="C32" s="1149" t="s">
        <v>114</v>
      </c>
      <c r="D32" s="1148"/>
      <c r="E32" s="1147" t="s">
        <v>259</v>
      </c>
      <c r="F32" s="1148"/>
      <c r="G32" s="1147" t="s">
        <v>258</v>
      </c>
      <c r="H32" s="1153"/>
      <c r="L32" s="46"/>
      <c r="M32" s="46"/>
      <c r="N32" s="46"/>
      <c r="O32" s="38"/>
      <c r="P32" s="38"/>
      <c r="Q32" s="267" t="s">
        <v>2</v>
      </c>
      <c r="R32" s="268" t="s">
        <v>142</v>
      </c>
      <c r="S32" s="268" t="s">
        <v>143</v>
      </c>
    </row>
    <row r="33" spans="1:19" s="32" customFormat="1" ht="9.9499999999999993" customHeight="1" x14ac:dyDescent="0.2">
      <c r="A33" s="1116" t="s">
        <v>72</v>
      </c>
      <c r="B33" s="1117"/>
      <c r="C33" s="1223">
        <v>0</v>
      </c>
      <c r="D33" s="1224"/>
      <c r="E33" s="1225">
        <v>0</v>
      </c>
      <c r="F33" s="1225"/>
      <c r="G33" s="1107">
        <v>0</v>
      </c>
      <c r="H33" s="1113"/>
      <c r="L33" s="48"/>
      <c r="M33" s="47"/>
      <c r="N33" s="47"/>
      <c r="O33" s="36"/>
      <c r="P33" s="36"/>
      <c r="Q33" s="269">
        <v>0</v>
      </c>
      <c r="R33" s="270">
        <v>0</v>
      </c>
      <c r="S33" s="271">
        <v>0</v>
      </c>
    </row>
    <row r="34" spans="1:19" s="32" customFormat="1" ht="9.9499999999999993" customHeight="1" x14ac:dyDescent="0.2">
      <c r="A34" s="956" t="s">
        <v>3</v>
      </c>
      <c r="B34" s="957"/>
      <c r="C34" s="958">
        <f>HLOOKUP($C$31,'Bemessungsregendaten, kfu'!$D$20:$N$41,2,0)</f>
        <v>11.9</v>
      </c>
      <c r="D34" s="959"/>
      <c r="E34" s="1144">
        <f t="shared" ref="E34:E53" si="0">IF((S34/1000)*$G$16&gt;0,(S34/1000)*$G$16,0)</f>
        <v>5.3312499999999998</v>
      </c>
      <c r="F34" s="1144"/>
      <c r="G34" s="960">
        <f t="shared" ref="G34:G54" si="1">IF(((S34/1000)*$G$16)-(($G$25*60*Q34)/1000)&gt;0,((S34/1000)*$G$16)-(($G$25*60*Q34)/1000),0)</f>
        <v>5.03125</v>
      </c>
      <c r="H34" s="961"/>
      <c r="L34" s="46"/>
      <c r="M34" s="46"/>
      <c r="N34" s="46"/>
      <c r="Q34" s="272">
        <v>5</v>
      </c>
      <c r="R34" s="270">
        <f>((Q34*$G$20*(($G$18*$G$19)/2)*($G$27/$G$16)))*60000</f>
        <v>1.2375</v>
      </c>
      <c r="S34" s="271">
        <f>IF((C34-R34)&gt;0, C34-R34, 0)</f>
        <v>10.6625</v>
      </c>
    </row>
    <row r="35" spans="1:19" s="32" customFormat="1" ht="9.9499999999999993" customHeight="1" x14ac:dyDescent="0.2">
      <c r="A35" s="956" t="s">
        <v>176</v>
      </c>
      <c r="B35" s="957"/>
      <c r="C35" s="958">
        <f>HLOOKUP($C$31,'Bemessungsregendaten, kfu'!$D$20:$N$41,3,0)</f>
        <v>15</v>
      </c>
      <c r="D35" s="1150"/>
      <c r="E35" s="1144">
        <f>IF((S35/1000)*$G$16&gt;0,(S35/1000)*$G$16,0)</f>
        <v>6.2625000000000002</v>
      </c>
      <c r="F35" s="1144"/>
      <c r="G35" s="960">
        <f t="shared" si="1"/>
        <v>5.6625000000000005</v>
      </c>
      <c r="H35" s="961"/>
      <c r="L35" s="46"/>
      <c r="M35" s="46"/>
      <c r="N35" s="46"/>
      <c r="Q35" s="272">
        <v>10</v>
      </c>
      <c r="R35" s="270">
        <f t="shared" ref="R35:R54" si="2">((Q35*$G$20*(($G$18*$G$19)/2)*($G$27/$G$16)))*60000</f>
        <v>2.4750000000000001</v>
      </c>
      <c r="S35" s="271">
        <f t="shared" ref="S35:S54" si="3">IF((C35-R35)&gt;0, C35-R35, 0)</f>
        <v>12.525</v>
      </c>
    </row>
    <row r="36" spans="1:19" s="32" customFormat="1" ht="9.9499999999999993" customHeight="1" x14ac:dyDescent="0.2">
      <c r="A36" s="956" t="s">
        <v>4</v>
      </c>
      <c r="B36" s="957"/>
      <c r="C36" s="958">
        <f>HLOOKUP($C$31,'Bemessungsregendaten, kfu'!$D$20:$N$41,4,0)</f>
        <v>17.2</v>
      </c>
      <c r="D36" s="959"/>
      <c r="E36" s="1144">
        <f t="shared" si="0"/>
        <v>6.7437499999999995</v>
      </c>
      <c r="F36" s="1144"/>
      <c r="G36" s="960">
        <f t="shared" si="1"/>
        <v>5.8437499999999991</v>
      </c>
      <c r="H36" s="961"/>
      <c r="L36" s="46"/>
      <c r="M36" s="46"/>
      <c r="N36" s="46"/>
      <c r="Q36" s="272">
        <v>15</v>
      </c>
      <c r="R36" s="270">
        <f t="shared" si="2"/>
        <v>3.7124999999999999</v>
      </c>
      <c r="S36" s="271">
        <f t="shared" si="3"/>
        <v>13.487499999999999</v>
      </c>
    </row>
    <row r="37" spans="1:19" s="32" customFormat="1" ht="9.9499999999999993" customHeight="1" x14ac:dyDescent="0.2">
      <c r="A37" s="956" t="s">
        <v>5</v>
      </c>
      <c r="B37" s="957"/>
      <c r="C37" s="958">
        <f>HLOOKUP($C$31,'Bemessungsregendaten, kfu'!$D$20:$N$41,5,0)</f>
        <v>18.899999999999999</v>
      </c>
      <c r="D37" s="959"/>
      <c r="E37" s="1144">
        <f t="shared" si="0"/>
        <v>6.9749999999999996</v>
      </c>
      <c r="F37" s="1144"/>
      <c r="G37" s="960">
        <f t="shared" si="1"/>
        <v>5.7749999999999995</v>
      </c>
      <c r="H37" s="961"/>
      <c r="L37" s="46"/>
      <c r="M37" s="46"/>
      <c r="N37" s="46"/>
      <c r="Q37" s="272">
        <v>20</v>
      </c>
      <c r="R37" s="270">
        <f t="shared" si="2"/>
        <v>4.95</v>
      </c>
      <c r="S37" s="271">
        <f t="shared" si="3"/>
        <v>13.95</v>
      </c>
    </row>
    <row r="38" spans="1:19" s="32" customFormat="1" ht="9.9499999999999993" customHeight="1" x14ac:dyDescent="0.2">
      <c r="A38" s="956" t="s">
        <v>7</v>
      </c>
      <c r="B38" s="957"/>
      <c r="C38" s="958">
        <f>HLOOKUP($C$31,'Bemessungsregendaten, kfu'!$D$20:$N$41,6,0)</f>
        <v>21.6</v>
      </c>
      <c r="D38" s="959"/>
      <c r="E38" s="1144">
        <f t="shared" si="0"/>
        <v>7.0875000000000004</v>
      </c>
      <c r="F38" s="1144"/>
      <c r="G38" s="960">
        <f t="shared" si="1"/>
        <v>5.2875000000000005</v>
      </c>
      <c r="H38" s="961"/>
      <c r="L38" s="46"/>
      <c r="M38" s="46"/>
      <c r="N38" s="46"/>
      <c r="Q38" s="272">
        <v>30</v>
      </c>
      <c r="R38" s="270">
        <f t="shared" si="2"/>
        <v>7.4249999999999998</v>
      </c>
      <c r="S38" s="271">
        <f t="shared" si="3"/>
        <v>14.175000000000001</v>
      </c>
    </row>
    <row r="39" spans="1:19" s="32" customFormat="1" ht="9.9499999999999993" customHeight="1" x14ac:dyDescent="0.2">
      <c r="A39" s="956" t="s">
        <v>6</v>
      </c>
      <c r="B39" s="957"/>
      <c r="C39" s="958">
        <f>HLOOKUP($C$31,'Bemessungsregendaten, kfu'!$D$20:$N$41,7,0)</f>
        <v>24.5</v>
      </c>
      <c r="D39" s="959"/>
      <c r="E39" s="1144">
        <f t="shared" si="0"/>
        <v>6.6812499999999995</v>
      </c>
      <c r="F39" s="1144"/>
      <c r="G39" s="960">
        <f t="shared" si="1"/>
        <v>3.9812499999999993</v>
      </c>
      <c r="H39" s="961"/>
      <c r="L39" s="46"/>
      <c r="M39" s="46"/>
      <c r="N39" s="46"/>
      <c r="Q39" s="272">
        <v>45</v>
      </c>
      <c r="R39" s="270">
        <f t="shared" si="2"/>
        <v>11.137500000000001</v>
      </c>
      <c r="S39" s="271">
        <f t="shared" si="3"/>
        <v>13.362499999999999</v>
      </c>
    </row>
    <row r="40" spans="1:19" s="32" customFormat="1" ht="9.9499999999999993" customHeight="1" x14ac:dyDescent="0.2">
      <c r="A40" s="956" t="s">
        <v>8</v>
      </c>
      <c r="B40" s="957"/>
      <c r="C40" s="958">
        <f>HLOOKUP($C$31,'Bemessungsregendaten, kfu'!$D$20:$N$41,8,0)</f>
        <v>26.5</v>
      </c>
      <c r="D40" s="959"/>
      <c r="E40" s="1144">
        <f t="shared" si="0"/>
        <v>5.8250000000000002</v>
      </c>
      <c r="F40" s="1144"/>
      <c r="G40" s="960">
        <f t="shared" si="1"/>
        <v>2.2250000000000001</v>
      </c>
      <c r="H40" s="961"/>
      <c r="L40" s="46"/>
      <c r="M40" s="46"/>
      <c r="N40" s="46"/>
      <c r="Q40" s="272">
        <v>60</v>
      </c>
      <c r="R40" s="270">
        <f t="shared" si="2"/>
        <v>14.85</v>
      </c>
      <c r="S40" s="271">
        <f t="shared" si="3"/>
        <v>11.65</v>
      </c>
    </row>
    <row r="41" spans="1:19" s="32" customFormat="1" ht="9.9499999999999993" customHeight="1" x14ac:dyDescent="0.2">
      <c r="A41" s="956" t="s">
        <v>9</v>
      </c>
      <c r="B41" s="957"/>
      <c r="C41" s="958">
        <f>HLOOKUP($C$31,'Bemessungsregendaten, kfu'!$D$20:$N$41,9,0)</f>
        <v>29.5</v>
      </c>
      <c r="D41" s="959"/>
      <c r="E41" s="1144">
        <f t="shared" si="0"/>
        <v>3.6124999999999989</v>
      </c>
      <c r="F41" s="1144"/>
      <c r="G41" s="960">
        <f t="shared" si="1"/>
        <v>0</v>
      </c>
      <c r="H41" s="961"/>
      <c r="L41" s="46"/>
      <c r="M41" s="46"/>
      <c r="N41" s="46"/>
      <c r="Q41" s="272">
        <v>90</v>
      </c>
      <c r="R41" s="270">
        <f t="shared" si="2"/>
        <v>22.275000000000002</v>
      </c>
      <c r="S41" s="271">
        <f t="shared" si="3"/>
        <v>7.2249999999999979</v>
      </c>
    </row>
    <row r="42" spans="1:19" s="32" customFormat="1" ht="9.9499999999999993" customHeight="1" x14ac:dyDescent="0.2">
      <c r="A42" s="956" t="s">
        <v>10</v>
      </c>
      <c r="B42" s="957"/>
      <c r="C42" s="958">
        <f>HLOOKUP($C$31,'Bemessungsregendaten, kfu'!$D$20:$N$41,10,0)</f>
        <v>32</v>
      </c>
      <c r="D42" s="959"/>
      <c r="E42" s="1144">
        <f t="shared" si="0"/>
        <v>1.1500000000000004</v>
      </c>
      <c r="F42" s="1144"/>
      <c r="G42" s="960">
        <f t="shared" si="1"/>
        <v>0</v>
      </c>
      <c r="H42" s="961"/>
      <c r="L42" s="46"/>
      <c r="M42" s="46"/>
      <c r="N42" s="46"/>
      <c r="Q42" s="272">
        <v>120</v>
      </c>
      <c r="R42" s="270">
        <f t="shared" si="2"/>
        <v>29.7</v>
      </c>
      <c r="S42" s="271">
        <f t="shared" si="3"/>
        <v>2.3000000000000007</v>
      </c>
    </row>
    <row r="43" spans="1:19" s="32" customFormat="1" ht="9.9499999999999993" customHeight="1" x14ac:dyDescent="0.2">
      <c r="A43" s="956" t="s">
        <v>11</v>
      </c>
      <c r="B43" s="957"/>
      <c r="C43" s="958">
        <f>HLOOKUP($C$31,'Bemessungsregendaten, kfu'!$D$20:$N$41,11,0)</f>
        <v>36.1</v>
      </c>
      <c r="D43" s="959"/>
      <c r="E43" s="1144">
        <f t="shared" si="0"/>
        <v>0</v>
      </c>
      <c r="F43" s="1144"/>
      <c r="G43" s="960">
        <f t="shared" si="1"/>
        <v>0</v>
      </c>
      <c r="H43" s="961"/>
      <c r="L43" s="46"/>
      <c r="M43" s="46"/>
      <c r="N43" s="46"/>
      <c r="Q43" s="272">
        <v>180</v>
      </c>
      <c r="R43" s="270">
        <f t="shared" si="2"/>
        <v>44.550000000000004</v>
      </c>
      <c r="S43" s="271">
        <f t="shared" si="3"/>
        <v>0</v>
      </c>
    </row>
    <row r="44" spans="1:19" s="32" customFormat="1" ht="9.9499999999999993" customHeight="1" x14ac:dyDescent="0.2">
      <c r="A44" s="956" t="s">
        <v>12</v>
      </c>
      <c r="B44" s="957"/>
      <c r="C44" s="958">
        <f>HLOOKUP($C$31,'Bemessungsregendaten, kfu'!$D$20:$N$41,12,0)</f>
        <v>39.200000000000003</v>
      </c>
      <c r="D44" s="959"/>
      <c r="E44" s="1144">
        <f t="shared" si="0"/>
        <v>0</v>
      </c>
      <c r="F44" s="1144"/>
      <c r="G44" s="960">
        <f t="shared" si="1"/>
        <v>0</v>
      </c>
      <c r="H44" s="961"/>
      <c r="L44" s="46"/>
      <c r="M44" s="46"/>
      <c r="N44" s="46"/>
      <c r="Q44" s="272">
        <v>240</v>
      </c>
      <c r="R44" s="270">
        <f t="shared" si="2"/>
        <v>59.4</v>
      </c>
      <c r="S44" s="271">
        <f t="shared" si="3"/>
        <v>0</v>
      </c>
    </row>
    <row r="45" spans="1:19" s="32" customFormat="1" ht="9.9499999999999993" customHeight="1" x14ac:dyDescent="0.2">
      <c r="A45" s="956" t="s">
        <v>13</v>
      </c>
      <c r="B45" s="957"/>
      <c r="C45" s="958">
        <f>HLOOKUP($C$31,'Bemessungsregendaten, kfu'!$D$20:$N$41,13,0)</f>
        <v>45.8</v>
      </c>
      <c r="D45" s="959"/>
      <c r="E45" s="1144">
        <f t="shared" si="0"/>
        <v>0</v>
      </c>
      <c r="F45" s="1144"/>
      <c r="G45" s="960">
        <f t="shared" si="1"/>
        <v>0</v>
      </c>
      <c r="H45" s="961"/>
      <c r="L45" s="46"/>
      <c r="M45" s="46"/>
      <c r="N45" s="46"/>
      <c r="Q45" s="272">
        <v>360</v>
      </c>
      <c r="R45" s="270">
        <f t="shared" si="2"/>
        <v>89.100000000000009</v>
      </c>
      <c r="S45" s="271">
        <f t="shared" si="3"/>
        <v>0</v>
      </c>
    </row>
    <row r="46" spans="1:19" s="32" customFormat="1" ht="9.9499999999999993" customHeight="1" x14ac:dyDescent="0.2">
      <c r="A46" s="956" t="s">
        <v>14</v>
      </c>
      <c r="B46" s="957"/>
      <c r="C46" s="958">
        <f>HLOOKUP($C$31,'Bemessungsregendaten, kfu'!$D$20:$N$41,14,0)</f>
        <v>53.5</v>
      </c>
      <c r="D46" s="959"/>
      <c r="E46" s="1144">
        <f t="shared" si="0"/>
        <v>0</v>
      </c>
      <c r="F46" s="1144"/>
      <c r="G46" s="960">
        <f t="shared" si="1"/>
        <v>0</v>
      </c>
      <c r="H46" s="961"/>
      <c r="L46" s="46"/>
      <c r="M46" s="46"/>
      <c r="N46" s="46"/>
      <c r="Q46" s="272">
        <v>540</v>
      </c>
      <c r="R46" s="270">
        <f t="shared" si="2"/>
        <v>133.65</v>
      </c>
      <c r="S46" s="271">
        <f t="shared" si="3"/>
        <v>0</v>
      </c>
    </row>
    <row r="47" spans="1:19" s="32" customFormat="1" ht="9.9499999999999993" customHeight="1" x14ac:dyDescent="0.2">
      <c r="A47" s="956" t="s">
        <v>15</v>
      </c>
      <c r="B47" s="957"/>
      <c r="C47" s="958">
        <f>HLOOKUP($C$31,'Bemessungsregendaten, kfu'!$D$20:$N$41,15,0)</f>
        <v>59.3</v>
      </c>
      <c r="D47" s="959"/>
      <c r="E47" s="1144">
        <f t="shared" si="0"/>
        <v>0</v>
      </c>
      <c r="F47" s="1144"/>
      <c r="G47" s="960">
        <f t="shared" si="1"/>
        <v>0</v>
      </c>
      <c r="H47" s="961"/>
      <c r="L47" s="46"/>
      <c r="M47" s="46"/>
      <c r="N47" s="46"/>
      <c r="Q47" s="272">
        <v>720</v>
      </c>
      <c r="R47" s="270">
        <f t="shared" si="2"/>
        <v>178.20000000000002</v>
      </c>
      <c r="S47" s="271">
        <f t="shared" si="3"/>
        <v>0</v>
      </c>
    </row>
    <row r="48" spans="1:19" s="32" customFormat="1" ht="9.9499999999999993" customHeight="1" x14ac:dyDescent="0.2">
      <c r="A48" s="956" t="s">
        <v>16</v>
      </c>
      <c r="B48" s="957"/>
      <c r="C48" s="958">
        <f>HLOOKUP($C$31,'Bemessungsregendaten, kfu'!$D$20:$N$41,16,0)</f>
        <v>67.900000000000006</v>
      </c>
      <c r="D48" s="959"/>
      <c r="E48" s="1144">
        <f t="shared" si="0"/>
        <v>0</v>
      </c>
      <c r="F48" s="1144"/>
      <c r="G48" s="960">
        <f t="shared" si="1"/>
        <v>0</v>
      </c>
      <c r="H48" s="961"/>
      <c r="L48" s="46"/>
      <c r="M48" s="46"/>
      <c r="N48" s="46"/>
      <c r="Q48" s="272">
        <v>1080</v>
      </c>
      <c r="R48" s="270">
        <f t="shared" si="2"/>
        <v>267.3</v>
      </c>
      <c r="S48" s="271">
        <f t="shared" si="3"/>
        <v>0</v>
      </c>
    </row>
    <row r="49" spans="1:19" s="32" customFormat="1" ht="9.9499999999999993" customHeight="1" x14ac:dyDescent="0.2">
      <c r="A49" s="956" t="s">
        <v>17</v>
      </c>
      <c r="B49" s="957"/>
      <c r="C49" s="958">
        <f>HLOOKUP($C$31,'Bemessungsregendaten, kfu'!$D$20:$N$41,17,0)</f>
        <v>70.400000000000006</v>
      </c>
      <c r="D49" s="959"/>
      <c r="E49" s="1144">
        <f t="shared" si="0"/>
        <v>0</v>
      </c>
      <c r="F49" s="1144"/>
      <c r="G49" s="960">
        <f t="shared" si="1"/>
        <v>0</v>
      </c>
      <c r="H49" s="961"/>
      <c r="L49" s="46"/>
      <c r="M49" s="46"/>
      <c r="N49" s="46"/>
      <c r="Q49" s="272">
        <v>1440</v>
      </c>
      <c r="R49" s="270">
        <f t="shared" si="2"/>
        <v>356.40000000000003</v>
      </c>
      <c r="S49" s="271">
        <f t="shared" si="3"/>
        <v>0</v>
      </c>
    </row>
    <row r="50" spans="1:19" s="32" customFormat="1" ht="9.9499999999999993" customHeight="1" x14ac:dyDescent="0.2">
      <c r="A50" s="956" t="s">
        <v>18</v>
      </c>
      <c r="B50" s="957"/>
      <c r="C50" s="958">
        <f>HLOOKUP($C$31,'Bemessungsregendaten, kfu'!$D$20:$N$41,18,0)</f>
        <v>83.6</v>
      </c>
      <c r="D50" s="959"/>
      <c r="E50" s="1144">
        <f t="shared" si="0"/>
        <v>0</v>
      </c>
      <c r="F50" s="1144"/>
      <c r="G50" s="960">
        <f t="shared" si="1"/>
        <v>0</v>
      </c>
      <c r="H50" s="961"/>
      <c r="L50" s="46"/>
      <c r="M50" s="46"/>
      <c r="N50" s="46"/>
      <c r="Q50" s="272">
        <v>2880</v>
      </c>
      <c r="R50" s="270">
        <f t="shared" si="2"/>
        <v>712.80000000000007</v>
      </c>
      <c r="S50" s="271">
        <f t="shared" si="3"/>
        <v>0</v>
      </c>
    </row>
    <row r="51" spans="1:19" s="32" customFormat="1" ht="9.9499999999999993" customHeight="1" x14ac:dyDescent="0.2">
      <c r="A51" s="956" t="s">
        <v>19</v>
      </c>
      <c r="B51" s="957"/>
      <c r="C51" s="958">
        <f>HLOOKUP($C$31,'Bemessungsregendaten, kfu'!$D$20:$N$41,19,0)</f>
        <v>92.6</v>
      </c>
      <c r="D51" s="959"/>
      <c r="E51" s="1144">
        <f t="shared" si="0"/>
        <v>0</v>
      </c>
      <c r="F51" s="1144"/>
      <c r="G51" s="960">
        <f t="shared" si="1"/>
        <v>0</v>
      </c>
      <c r="H51" s="961"/>
      <c r="L51" s="46"/>
      <c r="M51" s="46"/>
      <c r="N51" s="46"/>
      <c r="Q51" s="272">
        <v>4320</v>
      </c>
      <c r="R51" s="270">
        <f t="shared" si="2"/>
        <v>1069.2</v>
      </c>
      <c r="S51" s="271">
        <f t="shared" si="3"/>
        <v>0</v>
      </c>
    </row>
    <row r="52" spans="1:19" s="32" customFormat="1" ht="9.9499999999999993" customHeight="1" x14ac:dyDescent="0.2">
      <c r="A52" s="956" t="s">
        <v>20</v>
      </c>
      <c r="B52" s="957"/>
      <c r="C52" s="958">
        <f>HLOOKUP($C$31,'Bemessungsregendaten, kfu'!$D$20:$N$41,20,0)</f>
        <v>99.1</v>
      </c>
      <c r="D52" s="959"/>
      <c r="E52" s="1144">
        <f t="shared" si="0"/>
        <v>0</v>
      </c>
      <c r="F52" s="1144"/>
      <c r="G52" s="960">
        <f t="shared" si="1"/>
        <v>0</v>
      </c>
      <c r="H52" s="961"/>
      <c r="L52" s="46"/>
      <c r="M52" s="46"/>
      <c r="N52" s="46"/>
      <c r="Q52" s="272">
        <v>5760</v>
      </c>
      <c r="R52" s="270">
        <f t="shared" si="2"/>
        <v>1425.6000000000001</v>
      </c>
      <c r="S52" s="271">
        <f t="shared" si="3"/>
        <v>0</v>
      </c>
    </row>
    <row r="53" spans="1:19" s="32" customFormat="1" ht="9.9499999999999993" customHeight="1" x14ac:dyDescent="0.2">
      <c r="A53" s="956" t="s">
        <v>21</v>
      </c>
      <c r="B53" s="957"/>
      <c r="C53" s="958">
        <f>HLOOKUP($C$31,'Bemessungsregendaten, kfu'!$D$20:$N$41,21,0)</f>
        <v>104.4</v>
      </c>
      <c r="D53" s="959"/>
      <c r="E53" s="1144">
        <f t="shared" si="0"/>
        <v>0</v>
      </c>
      <c r="F53" s="1144"/>
      <c r="G53" s="960">
        <f t="shared" si="1"/>
        <v>0</v>
      </c>
      <c r="H53" s="961"/>
      <c r="L53" s="46"/>
      <c r="M53" s="46"/>
      <c r="N53" s="46"/>
      <c r="Q53" s="272">
        <v>7200</v>
      </c>
      <c r="R53" s="270">
        <f t="shared" si="2"/>
        <v>1782.0000000000002</v>
      </c>
      <c r="S53" s="271">
        <f t="shared" si="3"/>
        <v>0</v>
      </c>
    </row>
    <row r="54" spans="1:19" s="32" customFormat="1" ht="9.9499999999999993" customHeight="1" thickBot="1" x14ac:dyDescent="0.25">
      <c r="A54" s="1095" t="s">
        <v>22</v>
      </c>
      <c r="B54" s="1096"/>
      <c r="C54" s="1235">
        <f>HLOOKUP($C$31,'Bemessungsregendaten, kfu'!$D$20:$N$304,22,0)</f>
        <v>110.1</v>
      </c>
      <c r="D54" s="1236">
        <f>IF((S54/1000)*$G$16&gt;0,(S54/1000)*$G$16,0)</f>
        <v>0</v>
      </c>
      <c r="E54" s="1217"/>
      <c r="F54" s="1217"/>
      <c r="G54" s="1233">
        <f t="shared" si="1"/>
        <v>0</v>
      </c>
      <c r="H54" s="1234"/>
      <c r="J54" s="46"/>
      <c r="K54" s="39"/>
      <c r="L54" s="46"/>
      <c r="M54" s="46"/>
      <c r="N54" s="46"/>
      <c r="Q54" s="272">
        <v>8640</v>
      </c>
      <c r="R54" s="270">
        <f t="shared" si="2"/>
        <v>2138.4</v>
      </c>
      <c r="S54" s="271">
        <f t="shared" si="3"/>
        <v>0</v>
      </c>
    </row>
    <row r="55" spans="1:19" ht="5.25" customHeight="1" thickBot="1" x14ac:dyDescent="0.25">
      <c r="A55" s="1212"/>
      <c r="B55" s="1213"/>
      <c r="C55" s="1213"/>
      <c r="D55" s="1213"/>
      <c r="E55" s="1213"/>
      <c r="F55" s="1213"/>
      <c r="G55" s="1213"/>
      <c r="H55" s="1213"/>
      <c r="I55" s="46"/>
      <c r="J55" s="46"/>
      <c r="K55" s="39"/>
      <c r="L55" s="46"/>
      <c r="M55" s="46"/>
      <c r="N55" s="46"/>
      <c r="S55" s="274"/>
    </row>
    <row r="56" spans="1:19" ht="15.75" customHeight="1" thickBot="1" x14ac:dyDescent="0.25">
      <c r="A56" s="1214" t="s">
        <v>101</v>
      </c>
      <c r="B56" s="1215"/>
      <c r="C56" s="1215"/>
      <c r="D56" s="1215"/>
      <c r="E56" s="1215"/>
      <c r="F56" s="1215"/>
      <c r="G56" s="1215"/>
      <c r="H56" s="1216"/>
      <c r="I56" s="63"/>
      <c r="J56" s="63"/>
      <c r="K56" s="63"/>
      <c r="L56" s="63"/>
      <c r="M56" s="63"/>
      <c r="N56" s="63"/>
    </row>
    <row r="57" spans="1:19" ht="13.5" thickBot="1" x14ac:dyDescent="0.25">
      <c r="A57" s="1059"/>
      <c r="B57" s="1060"/>
      <c r="C57" s="1060"/>
      <c r="D57" s="1060"/>
      <c r="E57" s="1192" t="s">
        <v>222</v>
      </c>
      <c r="F57" s="1193"/>
      <c r="G57" s="1192" t="s">
        <v>223</v>
      </c>
      <c r="H57" s="1061"/>
      <c r="I57" s="63"/>
      <c r="J57" s="63"/>
      <c r="K57" s="63"/>
      <c r="L57" s="63"/>
      <c r="M57" s="63"/>
      <c r="N57" s="63"/>
    </row>
    <row r="58" spans="1:19" x14ac:dyDescent="0.2">
      <c r="A58" s="1218" t="s">
        <v>218</v>
      </c>
      <c r="B58" s="1219"/>
      <c r="C58" s="1219"/>
      <c r="D58" s="1220"/>
      <c r="E58" s="1221">
        <f>MAX(E34:E54)</f>
        <v>7.0875000000000004</v>
      </c>
      <c r="F58" s="1232"/>
      <c r="G58" s="1221">
        <f>MAX(G33:G54)</f>
        <v>5.8437499999999991</v>
      </c>
      <c r="H58" s="1222"/>
      <c r="I58" s="12"/>
      <c r="J58" s="12"/>
      <c r="K58" s="12"/>
      <c r="L58" s="839"/>
      <c r="M58" s="839"/>
      <c r="N58" s="839"/>
    </row>
    <row r="59" spans="1:19" ht="12.75" customHeight="1" x14ac:dyDescent="0.2">
      <c r="A59" s="1189" t="s">
        <v>219</v>
      </c>
      <c r="B59" s="1190"/>
      <c r="C59" s="1190"/>
      <c r="D59" s="1191"/>
      <c r="E59" s="1093">
        <f>E58/G26</f>
        <v>28.35</v>
      </c>
      <c r="F59" s="1195"/>
      <c r="G59" s="1093">
        <f>G58/G26</f>
        <v>23.374999999999996</v>
      </c>
      <c r="H59" s="1194"/>
      <c r="I59" s="12"/>
      <c r="J59" s="12"/>
      <c r="K59" s="12"/>
      <c r="L59" s="839"/>
      <c r="M59" s="839"/>
      <c r="N59" s="839"/>
    </row>
    <row r="60" spans="1:19" s="19" customFormat="1" ht="12.75" customHeight="1" x14ac:dyDescent="0.2">
      <c r="A60" s="1197" t="s">
        <v>220</v>
      </c>
      <c r="B60" s="1198"/>
      <c r="C60" s="1198"/>
      <c r="D60" s="1199"/>
      <c r="E60" s="1205">
        <f>E59/(G22*G23)</f>
        <v>56.7</v>
      </c>
      <c r="F60" s="1206"/>
      <c r="G60" s="1205">
        <f>G59/(G22*G23)</f>
        <v>46.749999999999993</v>
      </c>
      <c r="H60" s="1231"/>
      <c r="I60" s="62"/>
      <c r="J60" s="62"/>
      <c r="K60" s="62"/>
      <c r="L60" s="839"/>
      <c r="M60" s="839"/>
      <c r="N60" s="839"/>
      <c r="Q60" s="273"/>
      <c r="R60" s="273"/>
      <c r="S60" s="273"/>
    </row>
    <row r="61" spans="1:19" s="19" customFormat="1" ht="13.5" customHeight="1" x14ac:dyDescent="0.2">
      <c r="A61" s="1186" t="s">
        <v>67</v>
      </c>
      <c r="B61" s="1187"/>
      <c r="C61" s="1187"/>
      <c r="D61" s="1188"/>
      <c r="E61" s="178" t="str">
        <f>IF((MAX(E34:E54)&gt;0),(INDEX(A34:A54,MATCH(MAX(E34:E54),E34:E54,0))),"-")</f>
        <v>30 min.</v>
      </c>
      <c r="F61" s="179">
        <f>IF((MAX(E34:E54)&gt;0),(INDEX(C34:C54,MATCH(MAX(E34:E54),E34:E54,0))),"-")</f>
        <v>21.6</v>
      </c>
      <c r="G61" s="180" t="str">
        <f>IF((MAX(G34:G54)&gt;0),(INDEX(A34:A54,MATCH(MAX(G34:G54),G34:G54,0))),"-")</f>
        <v>15 min.</v>
      </c>
      <c r="H61" s="181">
        <f>IF((MAX(G34:G54)&gt;0),(INDEX(C34:C54,MATCH(MAX(G34:G54),G34:G54,0))),"-")</f>
        <v>17.2</v>
      </c>
      <c r="I61" s="62"/>
      <c r="J61" s="62"/>
      <c r="K61" s="62"/>
      <c r="L61" s="839"/>
      <c r="M61" s="839"/>
      <c r="N61" s="839"/>
      <c r="Q61" s="273"/>
      <c r="R61" s="273"/>
      <c r="S61" s="273"/>
    </row>
    <row r="62" spans="1:19" s="19" customFormat="1" ht="13.5" customHeight="1" x14ac:dyDescent="0.2">
      <c r="A62" s="1186" t="s">
        <v>175</v>
      </c>
      <c r="B62" s="1187"/>
      <c r="C62" s="1187"/>
      <c r="D62" s="1188"/>
      <c r="E62" s="1207">
        <f>C31</f>
        <v>5</v>
      </c>
      <c r="F62" s="1208"/>
      <c r="G62" s="319"/>
      <c r="H62" s="320"/>
      <c r="I62" s="62"/>
      <c r="J62" s="62"/>
      <c r="K62" s="62"/>
      <c r="L62" s="839"/>
      <c r="M62" s="839"/>
      <c r="N62" s="839"/>
      <c r="Q62" s="273"/>
      <c r="R62" s="273"/>
      <c r="S62" s="273"/>
    </row>
    <row r="63" spans="1:19" s="19" customFormat="1" ht="13.5" customHeight="1" x14ac:dyDescent="0.2">
      <c r="A63" s="1197" t="s">
        <v>309</v>
      </c>
      <c r="B63" s="1198"/>
      <c r="C63" s="1198"/>
      <c r="D63" s="1199"/>
      <c r="E63" s="1054">
        <f>G27*($G$18*$G$19)*1000</f>
        <v>8.25</v>
      </c>
      <c r="F63" s="1105"/>
      <c r="G63" s="317"/>
      <c r="H63" s="318"/>
      <c r="I63" s="62"/>
      <c r="J63" s="62"/>
      <c r="K63" s="62"/>
      <c r="L63" s="839"/>
      <c r="M63" s="839"/>
      <c r="N63" s="839"/>
      <c r="Q63" s="273"/>
      <c r="R63" s="273"/>
      <c r="S63" s="273"/>
    </row>
    <row r="64" spans="1:19" s="19" customFormat="1" ht="13.5" customHeight="1" x14ac:dyDescent="0.2">
      <c r="A64" s="1197" t="s">
        <v>310</v>
      </c>
      <c r="B64" s="1198"/>
      <c r="C64" s="1198"/>
      <c r="D64" s="1199"/>
      <c r="E64" s="1075">
        <f>E63*3.6*24</f>
        <v>712.8</v>
      </c>
      <c r="F64" s="1226"/>
      <c r="G64" s="1227"/>
      <c r="H64" s="1228"/>
      <c r="I64" s="62"/>
      <c r="J64" s="62"/>
      <c r="K64" s="62"/>
      <c r="L64" s="839"/>
      <c r="M64" s="839"/>
      <c r="N64" s="839"/>
      <c r="Q64" s="273"/>
      <c r="R64" s="273"/>
      <c r="S64" s="273"/>
    </row>
    <row r="65" spans="1:19" s="19" customFormat="1" ht="13.5" thickBot="1" x14ac:dyDescent="0.25">
      <c r="A65" s="1200" t="s">
        <v>316</v>
      </c>
      <c r="B65" s="1201"/>
      <c r="C65" s="1201"/>
      <c r="D65" s="1202"/>
      <c r="E65" s="1203">
        <f>'Bemessungsregendaten, kfu'!D36*G16/1000</f>
        <v>22.3</v>
      </c>
      <c r="F65" s="1204"/>
      <c r="G65" s="1229"/>
      <c r="H65" s="1230"/>
      <c r="I65" s="62"/>
      <c r="J65" s="62"/>
      <c r="K65" s="62"/>
      <c r="L65" s="839"/>
      <c r="M65" s="839"/>
      <c r="N65" s="839"/>
      <c r="Q65" s="273"/>
      <c r="R65" s="273"/>
      <c r="S65" s="273"/>
    </row>
    <row r="66" spans="1:19" ht="10.5" customHeight="1" x14ac:dyDescent="0.2">
      <c r="A66" s="182"/>
      <c r="B66" s="183"/>
      <c r="C66" s="183"/>
      <c r="D66" s="183"/>
      <c r="E66" s="183"/>
      <c r="F66" s="183"/>
      <c r="G66" s="183"/>
      <c r="H66" s="183"/>
      <c r="I66" s="64"/>
      <c r="J66" s="64"/>
      <c r="K66" s="64"/>
      <c r="L66" s="64"/>
      <c r="M66" s="64"/>
      <c r="N66" s="64"/>
    </row>
    <row r="67" spans="1:19" ht="34.5" customHeight="1" x14ac:dyDescent="0.2">
      <c r="A67" s="64"/>
      <c r="B67" s="64"/>
      <c r="C67" s="64"/>
      <c r="D67" s="64"/>
      <c r="E67" s="64"/>
      <c r="F67" s="64"/>
      <c r="G67" s="64"/>
      <c r="H67" s="64"/>
      <c r="I67" s="64"/>
      <c r="J67" s="64"/>
      <c r="K67" s="64"/>
      <c r="L67" s="64"/>
      <c r="M67" s="64"/>
      <c r="N67" s="64"/>
    </row>
    <row r="68" spans="1:19" x14ac:dyDescent="0.2">
      <c r="A68" s="64"/>
      <c r="B68" s="64"/>
      <c r="C68" s="64"/>
      <c r="D68" s="64"/>
      <c r="E68" s="64"/>
      <c r="F68" s="64"/>
      <c r="G68" s="64"/>
      <c r="H68" s="64"/>
      <c r="I68" s="64"/>
      <c r="J68" s="64"/>
      <c r="K68" s="64"/>
      <c r="L68" s="64"/>
      <c r="M68" s="64"/>
      <c r="N68" s="64"/>
    </row>
    <row r="69" spans="1:19" ht="28.5" customHeight="1" x14ac:dyDescent="0.2">
      <c r="A69" s="64"/>
      <c r="B69" s="64"/>
      <c r="C69" s="64"/>
      <c r="D69" s="64"/>
      <c r="E69" s="64"/>
      <c r="F69" s="64"/>
      <c r="G69" s="64"/>
      <c r="H69" s="64"/>
      <c r="I69" s="64"/>
      <c r="J69" s="64"/>
      <c r="K69" s="64"/>
      <c r="L69" s="64"/>
      <c r="M69" s="64"/>
      <c r="N69" s="64"/>
    </row>
    <row r="70" spans="1:19" ht="36" customHeight="1" x14ac:dyDescent="0.2">
      <c r="A70" s="64"/>
      <c r="B70" s="64"/>
      <c r="C70" s="64"/>
      <c r="D70" s="64"/>
      <c r="E70" s="64"/>
      <c r="F70" s="64"/>
      <c r="G70" s="64"/>
      <c r="H70" s="64"/>
      <c r="I70" s="64"/>
      <c r="J70" s="64"/>
      <c r="K70" s="64"/>
      <c r="L70" s="64"/>
      <c r="M70" s="64"/>
      <c r="N70" s="64"/>
    </row>
    <row r="71" spans="1:19" ht="72" customHeight="1" x14ac:dyDescent="0.2">
      <c r="A71" s="64"/>
      <c r="B71" s="64"/>
      <c r="C71" s="64"/>
      <c r="D71" s="64"/>
      <c r="E71" s="64"/>
      <c r="F71" s="64"/>
      <c r="G71" s="64"/>
      <c r="H71" s="64"/>
      <c r="I71" s="64"/>
      <c r="J71" s="64"/>
      <c r="K71" s="64"/>
      <c r="L71" s="64"/>
      <c r="M71" s="64"/>
      <c r="N71" s="64"/>
    </row>
    <row r="72" spans="1:19" x14ac:dyDescent="0.2">
      <c r="A72" s="64"/>
      <c r="B72" s="64"/>
      <c r="C72" s="64"/>
      <c r="D72" s="64"/>
      <c r="E72" s="64"/>
      <c r="F72" s="64"/>
      <c r="G72" s="64"/>
      <c r="H72" s="64"/>
      <c r="I72" s="64"/>
      <c r="J72" s="64"/>
      <c r="K72" s="64"/>
      <c r="L72" s="64"/>
      <c r="M72" s="64"/>
      <c r="N72" s="64"/>
    </row>
    <row r="73" spans="1:19" ht="46.5" customHeight="1" x14ac:dyDescent="0.2">
      <c r="A73" s="64"/>
      <c r="B73" s="64"/>
      <c r="C73" s="64"/>
      <c r="D73" s="64"/>
      <c r="E73" s="64"/>
      <c r="F73" s="64"/>
      <c r="G73" s="64"/>
      <c r="H73" s="64"/>
      <c r="I73" s="64"/>
      <c r="J73" s="64"/>
      <c r="K73" s="64"/>
      <c r="L73" s="64"/>
      <c r="M73" s="64"/>
      <c r="N73" s="64"/>
    </row>
    <row r="74" spans="1:19" ht="50.25" customHeight="1" x14ac:dyDescent="0.2">
      <c r="A74" s="64"/>
      <c r="B74" s="64"/>
      <c r="C74" s="64"/>
      <c r="D74" s="64"/>
      <c r="E74" s="64"/>
      <c r="F74" s="64"/>
      <c r="G74" s="64"/>
      <c r="H74" s="64"/>
      <c r="I74" s="64"/>
      <c r="J74" s="64"/>
      <c r="K74" s="64"/>
      <c r="L74" s="64"/>
      <c r="M74" s="64"/>
      <c r="N74" s="64"/>
    </row>
    <row r="75" spans="1:19" ht="6.75" customHeight="1" x14ac:dyDescent="0.2">
      <c r="A75" s="64"/>
      <c r="B75" s="64"/>
      <c r="C75" s="64"/>
      <c r="D75" s="64"/>
      <c r="E75" s="64"/>
      <c r="F75" s="64"/>
      <c r="G75" s="64"/>
      <c r="H75" s="64"/>
      <c r="I75" s="64"/>
      <c r="J75" s="64"/>
      <c r="K75" s="64"/>
      <c r="L75" s="64"/>
      <c r="M75" s="64"/>
      <c r="N75" s="64"/>
    </row>
    <row r="76" spans="1:19" x14ac:dyDescent="0.2">
      <c r="A76" s="64"/>
      <c r="B76" s="64"/>
      <c r="C76" s="12"/>
      <c r="D76" s="12"/>
      <c r="E76" s="12"/>
      <c r="F76" s="12"/>
      <c r="G76" s="12"/>
      <c r="H76" s="12"/>
      <c r="I76" s="12"/>
      <c r="J76" s="12"/>
      <c r="K76" s="12"/>
      <c r="L76" s="12"/>
      <c r="M76" s="12"/>
      <c r="N76" s="12"/>
    </row>
    <row r="77" spans="1:19" ht="28.5" customHeight="1" x14ac:dyDescent="0.2">
      <c r="A77" s="893"/>
      <c r="B77" s="893"/>
      <c r="I77" s="12"/>
      <c r="J77" s="12"/>
      <c r="K77" s="12"/>
      <c r="L77" s="12"/>
      <c r="M77" s="12"/>
      <c r="N77" s="12"/>
    </row>
    <row r="78" spans="1:19" x14ac:dyDescent="0.2">
      <c r="A78" s="894"/>
      <c r="B78" s="894"/>
      <c r="C78" s="3"/>
      <c r="D78" s="3"/>
    </row>
    <row r="79" spans="1:19" ht="28.5" customHeight="1" x14ac:dyDescent="0.2">
      <c r="A79" s="864"/>
      <c r="B79" s="864"/>
      <c r="C79" s="2"/>
      <c r="D79" s="901"/>
      <c r="E79" s="901"/>
      <c r="F79" s="2"/>
    </row>
    <row r="80" spans="1:19" s="1" customFormat="1" ht="36" customHeight="1" x14ac:dyDescent="0.2">
      <c r="A80" s="866"/>
      <c r="B80" s="866"/>
      <c r="C80" s="7"/>
      <c r="D80" s="6"/>
      <c r="F80" s="2"/>
      <c r="N80"/>
      <c r="O80"/>
      <c r="P80"/>
      <c r="Q80" s="262"/>
      <c r="R80" s="262"/>
      <c r="S80" s="262"/>
    </row>
    <row r="81" spans="1:19" s="1" customFormat="1" ht="72" customHeight="1" x14ac:dyDescent="0.2">
      <c r="A81" s="864"/>
      <c r="B81" s="864"/>
      <c r="C81" s="4"/>
      <c r="D81" s="6"/>
      <c r="F81" s="4"/>
      <c r="N81"/>
      <c r="O81"/>
      <c r="P81"/>
      <c r="Q81" s="262"/>
      <c r="R81" s="262"/>
      <c r="S81" s="262"/>
    </row>
    <row r="82" spans="1:19" s="1" customFormat="1" x14ac:dyDescent="0.2">
      <c r="A82" s="865"/>
      <c r="B82" s="865"/>
      <c r="C82" s="2"/>
      <c r="D82" s="8"/>
      <c r="F82" s="2"/>
      <c r="N82"/>
      <c r="O82"/>
      <c r="P82"/>
      <c r="Q82" s="262"/>
      <c r="R82" s="262"/>
      <c r="S82" s="262"/>
    </row>
    <row r="83" spans="1:19" s="1" customFormat="1" ht="46.5" customHeight="1" x14ac:dyDescent="0.2">
      <c r="A83"/>
      <c r="F83" s="2"/>
      <c r="N83"/>
      <c r="O83"/>
      <c r="P83"/>
      <c r="Q83" s="262"/>
      <c r="R83" s="262"/>
      <c r="S83" s="262"/>
    </row>
    <row r="84" spans="1:19" s="1" customFormat="1" ht="50.25" customHeight="1" x14ac:dyDescent="0.2">
      <c r="A84" s="864"/>
      <c r="B84" s="864"/>
      <c r="C84" s="4"/>
      <c r="D84" s="5"/>
      <c r="N84"/>
      <c r="O84"/>
      <c r="P84"/>
      <c r="Q84" s="262"/>
      <c r="R84" s="262"/>
      <c r="S84" s="262"/>
    </row>
    <row r="85" spans="1:19" s="1" customFormat="1" x14ac:dyDescent="0.2">
      <c r="A85" s="894"/>
      <c r="B85" s="894"/>
      <c r="N85"/>
      <c r="O85"/>
      <c r="P85"/>
      <c r="Q85" s="262"/>
      <c r="R85" s="262"/>
      <c r="S85" s="262"/>
    </row>
    <row r="86" spans="1:19" s="1" customFormat="1" x14ac:dyDescent="0.2">
      <c r="A86" s="584"/>
      <c r="B86" s="584"/>
      <c r="N86"/>
      <c r="O86"/>
      <c r="P86"/>
      <c r="Q86" s="262"/>
      <c r="R86" s="262"/>
      <c r="S86" s="262"/>
    </row>
    <row r="87" spans="1:19" s="1" customFormat="1" ht="28.5" customHeight="1" x14ac:dyDescent="0.2">
      <c r="A87" s="893"/>
      <c r="B87" s="893"/>
      <c r="C87" s="12"/>
      <c r="D87" s="13"/>
      <c r="F87" s="2"/>
      <c r="N87"/>
      <c r="O87"/>
      <c r="P87"/>
      <c r="Q87" s="262"/>
      <c r="R87" s="262"/>
      <c r="S87" s="262"/>
    </row>
    <row r="88" spans="1:19" s="1" customFormat="1" ht="29.25" customHeight="1" x14ac:dyDescent="0.2">
      <c r="A88" s="866"/>
      <c r="B88" s="867"/>
      <c r="C88" s="14"/>
      <c r="D88" s="15"/>
      <c r="F88" s="2"/>
      <c r="G88" s="2"/>
      <c r="H88" s="6"/>
      <c r="N88"/>
      <c r="O88"/>
      <c r="P88"/>
      <c r="Q88" s="262"/>
      <c r="R88" s="262"/>
      <c r="S88" s="262"/>
    </row>
    <row r="89" spans="1:19" s="1" customFormat="1" x14ac:dyDescent="0.2">
      <c r="A89" s="865"/>
      <c r="B89" s="892"/>
      <c r="C89" s="16"/>
      <c r="D89" s="17"/>
      <c r="F89" s="2"/>
      <c r="H89" s="6"/>
      <c r="N89"/>
      <c r="O89"/>
      <c r="P89"/>
      <c r="Q89" s="262"/>
      <c r="R89" s="262"/>
      <c r="S89" s="262"/>
    </row>
    <row r="90" spans="1:19" s="1" customFormat="1" ht="27.75" customHeight="1" x14ac:dyDescent="0.2">
      <c r="A90" s="866"/>
      <c r="B90" s="867"/>
      <c r="C90" s="14"/>
      <c r="D90" s="18"/>
      <c r="F90" s="4"/>
      <c r="H90" s="6"/>
      <c r="N90"/>
      <c r="O90"/>
      <c r="P90"/>
      <c r="Q90" s="262"/>
      <c r="R90" s="262"/>
      <c r="S90" s="262"/>
    </row>
    <row r="91" spans="1:19" s="1" customFormat="1" x14ac:dyDescent="0.2">
      <c r="A91" s="584"/>
      <c r="B91" s="584"/>
      <c r="C91" s="12"/>
      <c r="D91" s="12"/>
      <c r="N91"/>
      <c r="O91"/>
      <c r="P91"/>
      <c r="Q91" s="262"/>
      <c r="R91" s="262"/>
      <c r="S91" s="262"/>
    </row>
    <row r="92" spans="1:19" s="1" customFormat="1" x14ac:dyDescent="0.2">
      <c r="A92" s="584"/>
      <c r="B92" s="584"/>
      <c r="N92"/>
      <c r="O92"/>
      <c r="P92"/>
      <c r="Q92" s="262"/>
      <c r="R92" s="262"/>
      <c r="S92" s="262"/>
    </row>
  </sheetData>
  <sheetProtection formatCells="0" formatColumns="0" formatRows="0" deleteColumns="0" deleteRows="0"/>
  <mergeCells count="183">
    <mergeCell ref="G39:H39"/>
    <mergeCell ref="G42:H42"/>
    <mergeCell ref="G41:H41"/>
    <mergeCell ref="G40:H40"/>
    <mergeCell ref="G37:H37"/>
    <mergeCell ref="G38:H38"/>
    <mergeCell ref="G46:H46"/>
    <mergeCell ref="G47:H47"/>
    <mergeCell ref="G48:H48"/>
    <mergeCell ref="G44:H44"/>
    <mergeCell ref="G45:H45"/>
    <mergeCell ref="G43:H43"/>
    <mergeCell ref="A43:B43"/>
    <mergeCell ref="A52:B52"/>
    <mergeCell ref="A45:B45"/>
    <mergeCell ref="C45:D45"/>
    <mergeCell ref="C46:D46"/>
    <mergeCell ref="E49:F49"/>
    <mergeCell ref="E46:F46"/>
    <mergeCell ref="E47:F47"/>
    <mergeCell ref="A48:B48"/>
    <mergeCell ref="A47:B47"/>
    <mergeCell ref="A44:B44"/>
    <mergeCell ref="A46:B46"/>
    <mergeCell ref="A50:B50"/>
    <mergeCell ref="G50:H50"/>
    <mergeCell ref="G52:H52"/>
    <mergeCell ref="G51:H51"/>
    <mergeCell ref="G49:H49"/>
    <mergeCell ref="E45:F45"/>
    <mergeCell ref="C44:D44"/>
    <mergeCell ref="C43:D43"/>
    <mergeCell ref="E44:F44"/>
    <mergeCell ref="E43:F43"/>
    <mergeCell ref="C50:D50"/>
    <mergeCell ref="C47:D47"/>
    <mergeCell ref="C48:D48"/>
    <mergeCell ref="C49:D49"/>
    <mergeCell ref="L58:N65"/>
    <mergeCell ref="A26:E26"/>
    <mergeCell ref="A61:D61"/>
    <mergeCell ref="E64:F64"/>
    <mergeCell ref="G64:H65"/>
    <mergeCell ref="A42:B42"/>
    <mergeCell ref="G60:H60"/>
    <mergeCell ref="E42:F42"/>
    <mergeCell ref="A51:B51"/>
    <mergeCell ref="K30:L30"/>
    <mergeCell ref="E48:F48"/>
    <mergeCell ref="A53:B53"/>
    <mergeCell ref="E53:F53"/>
    <mergeCell ref="C52:D52"/>
    <mergeCell ref="C53:D53"/>
    <mergeCell ref="E52:F52"/>
    <mergeCell ref="E51:F51"/>
    <mergeCell ref="E50:F50"/>
    <mergeCell ref="C51:D51"/>
    <mergeCell ref="A49:B49"/>
    <mergeCell ref="A54:B54"/>
    <mergeCell ref="E58:F58"/>
    <mergeCell ref="G54:H54"/>
    <mergeCell ref="C54:D54"/>
    <mergeCell ref="K31:L31"/>
    <mergeCell ref="A32:B32"/>
    <mergeCell ref="A36:B36"/>
    <mergeCell ref="E35:F35"/>
    <mergeCell ref="C33:D33"/>
    <mergeCell ref="C34:D34"/>
    <mergeCell ref="E36:F36"/>
    <mergeCell ref="G36:H36"/>
    <mergeCell ref="E33:F33"/>
    <mergeCell ref="E34:F34"/>
    <mergeCell ref="G33:H33"/>
    <mergeCell ref="G34:H34"/>
    <mergeCell ref="G35:H35"/>
    <mergeCell ref="A91:B91"/>
    <mergeCell ref="A77:B77"/>
    <mergeCell ref="A78:B78"/>
    <mergeCell ref="A79:B79"/>
    <mergeCell ref="A87:B87"/>
    <mergeCell ref="D79:E79"/>
    <mergeCell ref="A92:B92"/>
    <mergeCell ref="A80:B80"/>
    <mergeCell ref="A81:B81"/>
    <mergeCell ref="A82:B82"/>
    <mergeCell ref="A84:B84"/>
    <mergeCell ref="A85:B85"/>
    <mergeCell ref="A86:B86"/>
    <mergeCell ref="A88:B88"/>
    <mergeCell ref="A90:B90"/>
    <mergeCell ref="A89:B89"/>
    <mergeCell ref="A62:D62"/>
    <mergeCell ref="A59:D59"/>
    <mergeCell ref="E57:F57"/>
    <mergeCell ref="G59:H59"/>
    <mergeCell ref="E59:F59"/>
    <mergeCell ref="H18:H27"/>
    <mergeCell ref="A63:D63"/>
    <mergeCell ref="A64:D64"/>
    <mergeCell ref="A65:D65"/>
    <mergeCell ref="E63:F63"/>
    <mergeCell ref="E65:F65"/>
    <mergeCell ref="E60:F60"/>
    <mergeCell ref="E62:F62"/>
    <mergeCell ref="A29:G29"/>
    <mergeCell ref="C30:H30"/>
    <mergeCell ref="A60:D60"/>
    <mergeCell ref="A55:H55"/>
    <mergeCell ref="A56:H56"/>
    <mergeCell ref="A57:D57"/>
    <mergeCell ref="G53:H53"/>
    <mergeCell ref="G57:H57"/>
    <mergeCell ref="E54:F54"/>
    <mergeCell ref="A58:D58"/>
    <mergeCell ref="G58:H58"/>
    <mergeCell ref="A1:N2"/>
    <mergeCell ref="I26:K26"/>
    <mergeCell ref="A24:E24"/>
    <mergeCell ref="C25:E25"/>
    <mergeCell ref="A22:E22"/>
    <mergeCell ref="A23:E23"/>
    <mergeCell ref="E10:F10"/>
    <mergeCell ref="G10:H10"/>
    <mergeCell ref="E11:F11"/>
    <mergeCell ref="G11:H11"/>
    <mergeCell ref="A4:B4"/>
    <mergeCell ref="C4:H4"/>
    <mergeCell ref="A5:B5"/>
    <mergeCell ref="C5:H5"/>
    <mergeCell ref="A8:H8"/>
    <mergeCell ref="B13:C13"/>
    <mergeCell ref="E13:F13"/>
    <mergeCell ref="E12:F12"/>
    <mergeCell ref="B11:C11"/>
    <mergeCell ref="B12:C12"/>
    <mergeCell ref="G13:H13"/>
    <mergeCell ref="A9:H9"/>
    <mergeCell ref="B10:C10"/>
    <mergeCell ref="G12:H12"/>
    <mergeCell ref="G32:H32"/>
    <mergeCell ref="C36:D36"/>
    <mergeCell ref="C42:D42"/>
    <mergeCell ref="C39:D39"/>
    <mergeCell ref="C40:D40"/>
    <mergeCell ref="A6:B6"/>
    <mergeCell ref="C6:H6"/>
    <mergeCell ref="A7:H7"/>
    <mergeCell ref="E15:F15"/>
    <mergeCell ref="A30:B31"/>
    <mergeCell ref="A27:E27"/>
    <mergeCell ref="B15:C15"/>
    <mergeCell ref="B16:D16"/>
    <mergeCell ref="C31:H31"/>
    <mergeCell ref="A25:B25"/>
    <mergeCell ref="A20:E20"/>
    <mergeCell ref="E14:F14"/>
    <mergeCell ref="G16:H16"/>
    <mergeCell ref="E16:F16"/>
    <mergeCell ref="G15:H15"/>
    <mergeCell ref="G14:H14"/>
    <mergeCell ref="B14:C14"/>
    <mergeCell ref="A18:E18"/>
    <mergeCell ref="A19:E19"/>
    <mergeCell ref="A35:B35"/>
    <mergeCell ref="A33:B33"/>
    <mergeCell ref="A34:B34"/>
    <mergeCell ref="A37:B37"/>
    <mergeCell ref="A40:B40"/>
    <mergeCell ref="A38:B38"/>
    <mergeCell ref="A39:B39"/>
    <mergeCell ref="E32:F32"/>
    <mergeCell ref="C32:D32"/>
    <mergeCell ref="C35:D35"/>
    <mergeCell ref="A21:E21"/>
    <mergeCell ref="A41:B41"/>
    <mergeCell ref="C37:D37"/>
    <mergeCell ref="C38:D38"/>
    <mergeCell ref="C41:D41"/>
    <mergeCell ref="E38:F38"/>
    <mergeCell ref="E39:F39"/>
    <mergeCell ref="E41:F41"/>
    <mergeCell ref="E37:F37"/>
    <mergeCell ref="E40:F40"/>
  </mergeCells>
  <phoneticPr fontId="47" type="noConversion"/>
  <conditionalFormatting sqref="G34:G54 E34:E54">
    <cfRule type="cellIs" dxfId="4" priority="35" stopIfTrue="1" operator="lessThan">
      <formula>0.0000001</formula>
    </cfRule>
  </conditionalFormatting>
  <conditionalFormatting sqref="E64:F64">
    <cfRule type="cellIs" dxfId="3" priority="37" stopIfTrue="1" operator="lessThan">
      <formula>$E$65</formula>
    </cfRule>
  </conditionalFormatting>
  <dataValidations disablePrompts="1" xWindow="379" yWindow="376" count="11">
    <dataValidation allowBlank="1" showErrorMessage="1" sqref="E64 I29:K31 H35:H54 L29:N36 E58:F58" xr:uid="{00000000-0002-0000-0A00-000000000000}"/>
    <dataValidation allowBlank="1" showErrorMessage="1" promptTitle="Formel" prompt="As*kf*1000" sqref="E63" xr:uid="{00000000-0002-0000-0A00-000001000000}"/>
    <dataValidation allowBlank="1" showErrorMessage="1" promptTitle="Formel" prompt="Vs = (qs * Aent) / 1.000" sqref="E32:G33" xr:uid="{00000000-0002-0000-0A00-000002000000}"/>
    <dataValidation allowBlank="1" showInputMessage="1" showErrorMessage="1" promptTitle="Formel" prompt="qv = kf * β * D * (As / Aent) * 60.000" sqref="R33" xr:uid="{00000000-0002-0000-0A00-000003000000}"/>
    <dataValidation allowBlank="1" showErrorMessage="1" prompt="aus ehyd-Datenbank" sqref="C32" xr:uid="{00000000-0002-0000-0A00-000004000000}"/>
    <dataValidation allowBlank="1" showErrorMessage="1" promptTitle="Hinweis" prompt="Der Faktor ist von der Herkunft des kf-Wertes abhängig. _x000a_Feldversuch: 1_x000a_Literatur: 0,5_x000a_Sieblinie: 0,1" sqref="G19" xr:uid="{00000000-0002-0000-0A00-000005000000}"/>
    <dataValidation type="decimal" allowBlank="1" showErrorMessage="1" promptTitle="Bodenart kf [m/s]" prompt="Kies 1*10-1 - 1*10-3_x000a_sandiger Kies 1*10-3 - 1*10-4_x000a_Mittelsand 1*10-3 bis 1*10-5_x000a_humoser Oberboden 1*10-3 - 1*10-6_x000a_schluffiger Sand 1*10-5 - 1*10-7_x000a_Schluff 1*10-6 - 1*10-9_x000a_toniger Schluff 1*10-7 - 1*10-11_x000a__x000a_" sqref="G18" xr:uid="{00000000-0002-0000-0A00-000006000000}">
      <formula1>0.0000001</formula1>
      <formula2>0.1</formula2>
    </dataValidation>
    <dataValidation allowBlank="1" showInputMessage="1" showErrorMessage="1" promptTitle="An" prompt="Horizontalprojektion der jeweiligen Teilentwässerungsfläche in [m²]" sqref="E10" xr:uid="{00000000-0002-0000-0A00-000007000000}"/>
    <dataValidation type="list" allowBlank="1" showInputMessage="1" showErrorMessage="1" sqref="G24" xr:uid="{00000000-0002-0000-0A00-000008000000}">
      <formula1>$R$21:$R$22</formula1>
    </dataValidation>
    <dataValidation type="decimal" allowBlank="1" showInputMessage="1" showErrorMessage="1" sqref="D11:D15" xr:uid="{00000000-0002-0000-0A00-000009000000}">
      <formula1>0</formula1>
      <formula2>1</formula2>
    </dataValidation>
    <dataValidation allowBlank="1" showErrorMessage="1" promptTitle="Formel" prompt="Maximum von Vs" sqref="G58:H58" xr:uid="{00000000-0002-0000-0A00-00000A000000}"/>
  </dataValidations>
  <pageMargins left="0.70866141732283472" right="0.70866141732283472" top="0.74803149606299213" bottom="0.74803149606299213" header="0.31496062992125984" footer="0.31496062992125984"/>
  <pageSetup paperSize="9" orientation="portrait" horizontalDpi="4294967293" r:id="rId1"/>
  <headerFooter alignWithMargins="0">
    <oddHeader>&amp;C&amp;"Arial,Fett"&amp;16UNTERIRDISCHER SICKERKÖRPER / RIGOLENVERSICKERUNG</oddHeader>
    <oddFooter>&amp;R&amp;8Seite &amp;P von 2</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0">
    <tabColor rgb="FF00B050"/>
  </sheetPr>
  <dimension ref="A1:U78"/>
  <sheetViews>
    <sheetView showGridLines="0" topLeftCell="A3" zoomScaleNormal="100" workbookViewId="0">
      <selection activeCell="A3" sqref="A3"/>
    </sheetView>
  </sheetViews>
  <sheetFormatPr baseColWidth="10" defaultRowHeight="12.75" x14ac:dyDescent="0.2"/>
  <cols>
    <col min="1" max="1" width="12.85546875" customWidth="1"/>
    <col min="2" max="2" width="12.5703125" style="1" customWidth="1"/>
    <col min="3" max="3" width="11" style="1" customWidth="1"/>
    <col min="4" max="4" width="11.7109375" style="1" customWidth="1"/>
    <col min="5" max="5" width="10.5703125" style="1" customWidth="1"/>
    <col min="6" max="6" width="10.140625" style="1" customWidth="1"/>
    <col min="7" max="7" width="9.42578125" style="1" customWidth="1"/>
    <col min="8" max="8" width="9.28515625" style="1" customWidth="1"/>
    <col min="9" max="9" width="9.140625" style="1" bestFit="1" customWidth="1"/>
    <col min="10" max="13" width="21.28515625" style="1" customWidth="1"/>
    <col min="14" max="14" width="21.28515625" customWidth="1"/>
    <col min="15" max="16" width="28.42578125" customWidth="1"/>
    <col min="17" max="17" width="28.42578125" style="262" customWidth="1"/>
    <col min="18" max="18" width="16.85546875" style="262" bestFit="1" customWidth="1"/>
    <col min="19" max="19" width="16.85546875" style="262" customWidth="1"/>
    <col min="20" max="20" width="18.5703125" style="262" bestFit="1" customWidth="1"/>
  </cols>
  <sheetData>
    <row r="1" spans="1:20" ht="9.75" hidden="1" customHeight="1" x14ac:dyDescent="0.2">
      <c r="A1" s="895" t="s">
        <v>56</v>
      </c>
      <c r="B1" s="896"/>
      <c r="C1" s="896"/>
      <c r="D1" s="896"/>
      <c r="E1" s="896"/>
      <c r="F1" s="896"/>
      <c r="G1" s="896"/>
      <c r="H1" s="896"/>
      <c r="I1" s="896"/>
      <c r="J1" s="896"/>
      <c r="K1" s="896"/>
      <c r="L1" s="896"/>
      <c r="M1" s="896"/>
      <c r="N1" s="897"/>
    </row>
    <row r="2" spans="1:20" ht="7.5" hidden="1" customHeight="1" thickBot="1" x14ac:dyDescent="0.25">
      <c r="A2" s="898"/>
      <c r="B2" s="899"/>
      <c r="C2" s="899"/>
      <c r="D2" s="899"/>
      <c r="E2" s="899"/>
      <c r="F2" s="899"/>
      <c r="G2" s="899"/>
      <c r="H2" s="899"/>
      <c r="I2" s="899"/>
      <c r="J2" s="899"/>
      <c r="K2" s="899"/>
      <c r="L2" s="899"/>
      <c r="M2" s="899"/>
      <c r="N2" s="900"/>
    </row>
    <row r="3" spans="1:20" ht="11.25" customHeight="1" thickBot="1" x14ac:dyDescent="0.25">
      <c r="A3" s="96"/>
      <c r="B3" s="96"/>
      <c r="C3" s="96"/>
      <c r="D3" s="96"/>
      <c r="E3" s="96"/>
      <c r="F3" s="96"/>
      <c r="G3" s="96"/>
      <c r="H3" s="111" t="str">
        <f>Einführung!L4</f>
        <v>v01.15</v>
      </c>
      <c r="I3" s="85"/>
      <c r="J3" s="85"/>
      <c r="K3" s="85"/>
      <c r="L3" s="85"/>
      <c r="M3" s="85"/>
      <c r="N3" s="85"/>
      <c r="O3" s="22"/>
    </row>
    <row r="4" spans="1:20" ht="13.5" customHeight="1" x14ac:dyDescent="0.2">
      <c r="A4" s="809" t="s">
        <v>121</v>
      </c>
      <c r="B4" s="810"/>
      <c r="C4" s="815" t="str">
        <f>'Bemessungsregendaten, kfu'!E4</f>
        <v>Testprojekt</v>
      </c>
      <c r="D4" s="815"/>
      <c r="E4" s="815"/>
      <c r="F4" s="815"/>
      <c r="G4" s="815"/>
      <c r="H4" s="816"/>
      <c r="I4" s="85"/>
      <c r="J4" s="85"/>
      <c r="K4" s="85"/>
      <c r="L4" s="85"/>
      <c r="M4" s="85"/>
      <c r="N4" s="85"/>
      <c r="O4" s="22"/>
    </row>
    <row r="5" spans="1:20" ht="13.5" customHeight="1" x14ac:dyDescent="0.2">
      <c r="A5" s="811" t="s">
        <v>119</v>
      </c>
      <c r="B5" s="812"/>
      <c r="C5" s="817" t="str">
        <f>'Bemessungsregendaten, kfu'!E5</f>
        <v>Max Mustermann</v>
      </c>
      <c r="D5" s="817"/>
      <c r="E5" s="817"/>
      <c r="F5" s="817"/>
      <c r="G5" s="817"/>
      <c r="H5" s="818"/>
      <c r="I5" s="85"/>
      <c r="J5" s="85"/>
      <c r="K5" s="85"/>
      <c r="L5" s="85"/>
      <c r="M5" s="85"/>
      <c r="N5" s="85"/>
      <c r="O5" s="22"/>
    </row>
    <row r="6" spans="1:20" ht="13.5" customHeight="1" thickBot="1" x14ac:dyDescent="0.25">
      <c r="A6" s="813" t="s">
        <v>120</v>
      </c>
      <c r="B6" s="814"/>
      <c r="C6" s="819" t="str">
        <f>'Bemessungsregendaten, kfu'!E6</f>
        <v>Testprojekt</v>
      </c>
      <c r="D6" s="819"/>
      <c r="E6" s="819"/>
      <c r="F6" s="819"/>
      <c r="G6" s="819"/>
      <c r="H6" s="820"/>
      <c r="I6" s="85"/>
      <c r="J6" s="85"/>
      <c r="K6" s="85"/>
      <c r="L6" s="85"/>
      <c r="M6" s="85"/>
      <c r="N6" s="85"/>
      <c r="O6" s="22"/>
    </row>
    <row r="7" spans="1:20" ht="6" customHeight="1" thickBot="1" x14ac:dyDescent="0.25">
      <c r="A7" s="838"/>
      <c r="B7" s="838"/>
      <c r="C7" s="838"/>
      <c r="D7" s="838"/>
      <c r="E7" s="838"/>
      <c r="F7" s="838"/>
      <c r="G7" s="838"/>
      <c r="H7" s="838"/>
      <c r="I7" s="54"/>
      <c r="J7" s="54"/>
      <c r="K7" s="54"/>
      <c r="L7" s="54"/>
      <c r="M7" s="54"/>
      <c r="N7" s="54"/>
    </row>
    <row r="8" spans="1:20" ht="13.5" thickBot="1" x14ac:dyDescent="0.25">
      <c r="A8" s="799" t="s">
        <v>106</v>
      </c>
      <c r="B8" s="800"/>
      <c r="C8" s="800"/>
      <c r="D8" s="800"/>
      <c r="E8" s="800"/>
      <c r="F8" s="800"/>
      <c r="G8" s="800"/>
      <c r="H8" s="801"/>
      <c r="I8" s="55"/>
      <c r="J8" s="55"/>
      <c r="K8" s="55"/>
      <c r="L8" s="55"/>
      <c r="M8" s="55"/>
      <c r="N8" s="55"/>
    </row>
    <row r="9" spans="1:20" ht="13.5" thickBot="1" x14ac:dyDescent="0.25">
      <c r="A9" s="802" t="s">
        <v>141</v>
      </c>
      <c r="B9" s="803"/>
      <c r="C9" s="803"/>
      <c r="D9" s="803"/>
      <c r="E9" s="803"/>
      <c r="F9" s="803"/>
      <c r="G9" s="803"/>
      <c r="H9" s="804"/>
      <c r="I9" s="54"/>
      <c r="J9" s="54"/>
      <c r="K9" s="54"/>
      <c r="L9" s="54"/>
      <c r="M9" s="54"/>
      <c r="N9" s="54"/>
    </row>
    <row r="10" spans="1:20" s="32" customFormat="1" ht="25.5" customHeight="1" thickBot="1" x14ac:dyDescent="0.25">
      <c r="A10" s="163" t="s">
        <v>261</v>
      </c>
      <c r="B10" s="1184" t="s">
        <v>23</v>
      </c>
      <c r="C10" s="1185"/>
      <c r="D10" s="146" t="s">
        <v>127</v>
      </c>
      <c r="E10" s="835" t="s">
        <v>123</v>
      </c>
      <c r="F10" s="836"/>
      <c r="G10" s="835" t="s">
        <v>124</v>
      </c>
      <c r="H10" s="834"/>
      <c r="I10" s="51"/>
      <c r="J10" s="56"/>
      <c r="K10" s="56"/>
      <c r="L10" s="56"/>
      <c r="M10" s="56"/>
      <c r="N10" s="56"/>
      <c r="Q10" s="263"/>
      <c r="R10" s="263"/>
      <c r="S10" s="263"/>
      <c r="T10" s="263"/>
    </row>
    <row r="11" spans="1:20" s="32" customFormat="1" ht="11.25" customHeight="1" x14ac:dyDescent="0.2">
      <c r="A11" s="315" t="s">
        <v>57</v>
      </c>
      <c r="B11" s="1159"/>
      <c r="C11" s="1159"/>
      <c r="D11" s="107">
        <v>0.95</v>
      </c>
      <c r="E11" s="1154">
        <v>4200</v>
      </c>
      <c r="F11" s="1155"/>
      <c r="G11" s="1295">
        <f>D11*E11</f>
        <v>3990</v>
      </c>
      <c r="H11" s="1296"/>
      <c r="I11" s="52"/>
      <c r="J11" s="56"/>
      <c r="K11" s="56"/>
      <c r="L11" s="56"/>
      <c r="M11" s="56"/>
      <c r="N11" s="56"/>
      <c r="Q11" s="263"/>
      <c r="R11" s="263"/>
      <c r="S11" s="263"/>
      <c r="T11" s="263"/>
    </row>
    <row r="12" spans="1:20" s="32" customFormat="1" ht="11.25" customHeight="1" x14ac:dyDescent="0.2">
      <c r="A12" s="149" t="s">
        <v>58</v>
      </c>
      <c r="B12" s="1159"/>
      <c r="C12" s="1159"/>
      <c r="D12" s="107"/>
      <c r="E12" s="1154"/>
      <c r="F12" s="1155"/>
      <c r="G12" s="1264">
        <f>D12*E12</f>
        <v>0</v>
      </c>
      <c r="H12" s="1265"/>
      <c r="I12" s="52"/>
      <c r="J12" s="56"/>
      <c r="K12" s="56"/>
      <c r="L12" s="56"/>
      <c r="M12" s="56"/>
      <c r="N12" s="56"/>
      <c r="Q12" s="263"/>
      <c r="R12" s="263"/>
      <c r="S12" s="263"/>
      <c r="T12" s="263"/>
    </row>
    <row r="13" spans="1:20" s="32" customFormat="1" ht="12.75" customHeight="1" x14ac:dyDescent="0.2">
      <c r="A13" s="149" t="s">
        <v>59</v>
      </c>
      <c r="B13" s="1159"/>
      <c r="C13" s="1159"/>
      <c r="D13" s="107"/>
      <c r="E13" s="1154"/>
      <c r="F13" s="1155"/>
      <c r="G13" s="1264">
        <f>D13*E13</f>
        <v>0</v>
      </c>
      <c r="H13" s="1265"/>
      <c r="I13" s="52"/>
      <c r="J13" s="56"/>
      <c r="K13" s="56"/>
      <c r="L13" s="56"/>
      <c r="M13" s="56"/>
      <c r="N13" s="56"/>
      <c r="Q13" s="263"/>
      <c r="R13" s="263"/>
      <c r="S13" s="263"/>
      <c r="T13" s="263"/>
    </row>
    <row r="14" spans="1:20" s="32" customFormat="1" ht="11.25" customHeight="1" x14ac:dyDescent="0.2">
      <c r="A14" s="149" t="s">
        <v>60</v>
      </c>
      <c r="B14" s="1159"/>
      <c r="C14" s="1159"/>
      <c r="D14" s="107"/>
      <c r="E14" s="1154"/>
      <c r="F14" s="1155"/>
      <c r="G14" s="1264">
        <f>D14*E14</f>
        <v>0</v>
      </c>
      <c r="H14" s="1265"/>
      <c r="I14" s="52"/>
      <c r="J14" s="56"/>
      <c r="K14" s="56"/>
      <c r="L14" s="56"/>
      <c r="M14" s="56"/>
      <c r="N14" s="56"/>
      <c r="Q14" s="263"/>
      <c r="R14" s="263"/>
      <c r="S14" s="263"/>
      <c r="T14" s="263"/>
    </row>
    <row r="15" spans="1:20" s="32" customFormat="1" ht="11.25" customHeight="1" thickBot="1" x14ac:dyDescent="0.25">
      <c r="A15" s="149" t="s">
        <v>61</v>
      </c>
      <c r="B15" s="1159"/>
      <c r="C15" s="1159"/>
      <c r="D15" s="107"/>
      <c r="E15" s="1154"/>
      <c r="F15" s="1155"/>
      <c r="G15" s="1266">
        <f>D15*E15</f>
        <v>0</v>
      </c>
      <c r="H15" s="1267"/>
      <c r="I15" s="52"/>
      <c r="J15" s="56"/>
      <c r="K15" s="56"/>
      <c r="L15" s="56"/>
      <c r="M15" s="56"/>
      <c r="N15" s="56"/>
      <c r="Q15" s="263"/>
      <c r="R15" s="263"/>
      <c r="S15" s="263"/>
      <c r="T15" s="263"/>
    </row>
    <row r="16" spans="1:20" ht="13.5" thickBot="1" x14ac:dyDescent="0.25">
      <c r="A16" s="148"/>
      <c r="B16" s="923" t="s">
        <v>128</v>
      </c>
      <c r="C16" s="924"/>
      <c r="D16" s="924"/>
      <c r="E16" s="1268">
        <f>SUM(E11:F15)</f>
        <v>4200</v>
      </c>
      <c r="F16" s="924"/>
      <c r="G16" s="944">
        <f>SUM(G11:H15)</f>
        <v>3990</v>
      </c>
      <c r="H16" s="945"/>
      <c r="I16" s="53"/>
      <c r="J16" s="54"/>
      <c r="K16" s="54"/>
      <c r="L16" s="12"/>
      <c r="M16" s="12"/>
      <c r="N16" s="23"/>
    </row>
    <row r="17" spans="1:21" ht="5.25" customHeight="1" thickBot="1" x14ac:dyDescent="0.25">
      <c r="A17" s="97"/>
      <c r="B17" s="12"/>
      <c r="C17" s="12"/>
      <c r="D17" s="12"/>
      <c r="E17" s="12"/>
      <c r="F17" s="12"/>
      <c r="G17" s="12"/>
      <c r="H17" s="98"/>
      <c r="I17" s="59"/>
      <c r="J17" s="59"/>
      <c r="K17" s="59"/>
      <c r="L17" s="59"/>
      <c r="M17" s="59"/>
      <c r="N17" s="59"/>
    </row>
    <row r="18" spans="1:21" ht="12" customHeight="1" x14ac:dyDescent="0.2">
      <c r="A18" s="1292" t="s">
        <v>283</v>
      </c>
      <c r="B18" s="1293"/>
      <c r="C18" s="1293"/>
      <c r="D18" s="1294"/>
      <c r="E18" s="128"/>
      <c r="F18" s="1257">
        <v>5</v>
      </c>
      <c r="G18" s="1258"/>
      <c r="H18" s="98"/>
      <c r="I18" s="59"/>
      <c r="J18" s="82"/>
      <c r="K18" s="82"/>
      <c r="L18" s="82"/>
      <c r="M18" s="12"/>
      <c r="N18" s="23"/>
    </row>
    <row r="19" spans="1:21" ht="12.75" customHeight="1" x14ac:dyDescent="0.2">
      <c r="A19" s="1288" t="s">
        <v>224</v>
      </c>
      <c r="B19" s="1289"/>
      <c r="C19" s="1289"/>
      <c r="D19" s="1289"/>
      <c r="E19" s="129" t="s">
        <v>180</v>
      </c>
      <c r="F19" s="1290">
        <v>10</v>
      </c>
      <c r="G19" s="1291"/>
      <c r="H19" s="99"/>
      <c r="I19" s="57"/>
      <c r="J19" s="57"/>
      <c r="K19" s="57"/>
      <c r="L19" s="57"/>
      <c r="M19" s="57"/>
      <c r="N19" s="57"/>
    </row>
    <row r="20" spans="1:21" ht="12.75" customHeight="1" x14ac:dyDescent="0.2">
      <c r="A20" s="1242" t="s">
        <v>226</v>
      </c>
      <c r="B20" s="1243"/>
      <c r="C20" s="1243"/>
      <c r="D20" s="1244"/>
      <c r="E20" s="129" t="s">
        <v>225</v>
      </c>
      <c r="F20" s="1253">
        <f>F19/G16*10000</f>
        <v>25.062656641604008</v>
      </c>
      <c r="G20" s="1254"/>
      <c r="H20" s="99"/>
      <c r="I20" s="57"/>
      <c r="J20" s="57"/>
      <c r="K20" s="57"/>
      <c r="L20" s="57"/>
      <c r="M20" s="57"/>
      <c r="N20" s="57"/>
    </row>
    <row r="21" spans="1:21" ht="13.5" customHeight="1" x14ac:dyDescent="0.2">
      <c r="A21" s="1259" t="s">
        <v>111</v>
      </c>
      <c r="B21" s="1260"/>
      <c r="C21" s="1260"/>
      <c r="D21" s="1260"/>
      <c r="E21" s="65" t="s">
        <v>136</v>
      </c>
      <c r="F21" s="1237">
        <v>1.1000000000000001</v>
      </c>
      <c r="G21" s="1238"/>
      <c r="H21" s="99"/>
      <c r="I21" s="57"/>
      <c r="J21" s="57"/>
      <c r="K21" s="57"/>
      <c r="L21" s="57"/>
      <c r="M21" s="57"/>
      <c r="N21" s="57"/>
    </row>
    <row r="22" spans="1:21" ht="13.5" customHeight="1" thickBot="1" x14ac:dyDescent="0.25">
      <c r="A22" s="1240" t="s">
        <v>112</v>
      </c>
      <c r="B22" s="1241"/>
      <c r="C22" s="1241"/>
      <c r="D22" s="1241"/>
      <c r="E22" s="130" t="s">
        <v>181</v>
      </c>
      <c r="F22" s="1255">
        <v>0.99</v>
      </c>
      <c r="G22" s="1256"/>
      <c r="H22" s="99"/>
      <c r="I22" s="57"/>
      <c r="J22" s="57"/>
      <c r="K22" s="57"/>
      <c r="L22" s="57"/>
      <c r="M22" s="57"/>
      <c r="N22" s="57"/>
      <c r="O22" s="23"/>
      <c r="P22" s="22"/>
      <c r="R22" s="264"/>
      <c r="S22" s="264"/>
      <c r="T22" s="264"/>
    </row>
    <row r="23" spans="1:21" ht="9" customHeight="1" thickBot="1" x14ac:dyDescent="0.25">
      <c r="A23" s="1261"/>
      <c r="B23" s="936"/>
      <c r="C23" s="936"/>
      <c r="D23" s="936"/>
      <c r="E23" s="1262"/>
      <c r="F23" s="1262"/>
      <c r="G23" s="1262"/>
      <c r="H23" s="1263"/>
      <c r="I23" s="60"/>
      <c r="J23" s="60"/>
      <c r="K23" s="60"/>
      <c r="L23" s="60"/>
      <c r="M23" s="60"/>
      <c r="N23" s="60"/>
      <c r="O23" s="9"/>
    </row>
    <row r="24" spans="1:21" ht="13.5" customHeight="1" thickBot="1" x14ac:dyDescent="0.25">
      <c r="A24" s="799" t="s">
        <v>68</v>
      </c>
      <c r="B24" s="800"/>
      <c r="C24" s="800"/>
      <c r="D24" s="801"/>
      <c r="E24" s="1250"/>
      <c r="F24" s="1251"/>
      <c r="G24" s="1251"/>
      <c r="H24" s="1252"/>
      <c r="I24" s="55"/>
      <c r="J24" s="55"/>
      <c r="K24" s="55"/>
      <c r="L24" s="55"/>
      <c r="M24" s="55"/>
      <c r="N24" s="55"/>
      <c r="T24" s="275"/>
    </row>
    <row r="25" spans="1:21" s="32" customFormat="1" ht="9.9499999999999993" customHeight="1" x14ac:dyDescent="0.2">
      <c r="A25" s="1283"/>
      <c r="B25" s="1284"/>
      <c r="C25" s="906" t="s">
        <v>52</v>
      </c>
      <c r="D25" s="907"/>
      <c r="E25" s="1245"/>
      <c r="F25" s="912"/>
      <c r="G25" s="912"/>
      <c r="H25" s="1246"/>
      <c r="I25" s="44"/>
      <c r="J25" s="44"/>
      <c r="K25" s="912"/>
      <c r="L25" s="912"/>
      <c r="M25" s="44"/>
      <c r="N25" s="44"/>
      <c r="Q25" s="263"/>
      <c r="R25" s="263"/>
      <c r="S25" s="263"/>
      <c r="T25" s="265"/>
      <c r="U25" s="34"/>
    </row>
    <row r="26" spans="1:21" s="32" customFormat="1" ht="14.25" customHeight="1" x14ac:dyDescent="0.2">
      <c r="A26" s="1285"/>
      <c r="B26" s="1286"/>
      <c r="C26" s="1239">
        <v>5</v>
      </c>
      <c r="D26" s="1239"/>
      <c r="E26" s="1245"/>
      <c r="F26" s="912"/>
      <c r="G26" s="912"/>
      <c r="H26" s="1246"/>
      <c r="I26" s="45"/>
      <c r="J26" s="46"/>
      <c r="K26" s="913"/>
      <c r="L26" s="913"/>
      <c r="M26" s="45"/>
      <c r="N26" s="45"/>
      <c r="O26" s="41"/>
      <c r="Q26" s="263"/>
      <c r="R26" s="266" t="s">
        <v>161</v>
      </c>
      <c r="S26" s="266" t="s">
        <v>162</v>
      </c>
      <c r="T26" s="266" t="s">
        <v>163</v>
      </c>
    </row>
    <row r="27" spans="1:21" s="39" customFormat="1" ht="45" x14ac:dyDescent="0.2">
      <c r="A27" s="840" t="s">
        <v>1</v>
      </c>
      <c r="B27" s="841"/>
      <c r="C27" s="118" t="s">
        <v>114</v>
      </c>
      <c r="D27" s="119" t="s">
        <v>113</v>
      </c>
      <c r="E27" s="1245"/>
      <c r="F27" s="912"/>
      <c r="G27" s="912"/>
      <c r="H27" s="1246"/>
      <c r="I27" s="46"/>
      <c r="J27" s="46"/>
      <c r="L27" s="46"/>
      <c r="M27" s="46"/>
      <c r="N27" s="46"/>
      <c r="O27" s="38"/>
      <c r="P27" s="38"/>
      <c r="Q27" s="267" t="s">
        <v>2</v>
      </c>
      <c r="R27" s="268" t="s">
        <v>97</v>
      </c>
      <c r="S27" s="268" t="s">
        <v>97</v>
      </c>
      <c r="T27" s="276"/>
    </row>
    <row r="28" spans="1:21" s="32" customFormat="1" ht="9.9499999999999993" customHeight="1" x14ac:dyDescent="0.2">
      <c r="A28" s="842" t="s">
        <v>72</v>
      </c>
      <c r="B28" s="843"/>
      <c r="C28" s="42">
        <v>0</v>
      </c>
      <c r="D28" s="73">
        <v>0</v>
      </c>
      <c r="E28" s="1245"/>
      <c r="F28" s="912"/>
      <c r="G28" s="912"/>
      <c r="H28" s="1246"/>
      <c r="I28" s="47"/>
      <c r="J28" s="48"/>
      <c r="K28" s="49"/>
      <c r="L28" s="48"/>
      <c r="M28" s="47"/>
      <c r="N28" s="47"/>
      <c r="O28" s="36"/>
      <c r="P28" s="36"/>
      <c r="Q28" s="269">
        <v>0</v>
      </c>
      <c r="R28" s="270">
        <v>0</v>
      </c>
      <c r="S28" s="270">
        <v>0</v>
      </c>
      <c r="T28" s="271">
        <v>0</v>
      </c>
    </row>
    <row r="29" spans="1:21" s="32" customFormat="1" ht="9.9499999999999993" customHeight="1" x14ac:dyDescent="0.2">
      <c r="A29" s="805" t="s">
        <v>3</v>
      </c>
      <c r="B29" s="806"/>
      <c r="C29" s="42">
        <f>HLOOKUP($C$26,'Bemessungsregendaten, kfu'!$D$20:$N$41,2,0)</f>
        <v>11.9</v>
      </c>
      <c r="D29" s="37">
        <f>T29*$F$21*$F$22</f>
        <v>48.439809000000004</v>
      </c>
      <c r="E29" s="1245"/>
      <c r="F29" s="912"/>
      <c r="G29" s="912"/>
      <c r="H29" s="1246"/>
      <c r="I29" s="46"/>
      <c r="J29" s="46"/>
      <c r="K29" s="39"/>
      <c r="L29" s="46"/>
      <c r="M29" s="46"/>
      <c r="N29" s="46"/>
      <c r="Q29" s="272">
        <v>5</v>
      </c>
      <c r="R29" s="270">
        <f>$F$19*Q29*0.06</f>
        <v>3</v>
      </c>
      <c r="S29" s="270">
        <f>C29*$G$16/1000</f>
        <v>47.481000000000002</v>
      </c>
      <c r="T29" s="271">
        <f>IF(S29-R29&gt;0, S29-R29,0)</f>
        <v>44.481000000000002</v>
      </c>
    </row>
    <row r="30" spans="1:21" s="32" customFormat="1" ht="9.9499999999999993" customHeight="1" x14ac:dyDescent="0.2">
      <c r="A30" s="805" t="s">
        <v>176</v>
      </c>
      <c r="B30" s="806"/>
      <c r="C30" s="42">
        <f>HLOOKUP($C$26,'Bemessungsregendaten, kfu'!$D$20:$N$41,3,0)</f>
        <v>15</v>
      </c>
      <c r="D30" s="37">
        <f t="shared" ref="D30:D49" si="0">T30*$F$21*$F$22</f>
        <v>58.642650000000003</v>
      </c>
      <c r="E30" s="1245"/>
      <c r="F30" s="912"/>
      <c r="G30" s="912"/>
      <c r="H30" s="1246"/>
      <c r="I30" s="46"/>
      <c r="J30" s="46"/>
      <c r="K30" s="39"/>
      <c r="L30" s="46"/>
      <c r="M30" s="46"/>
      <c r="N30" s="46"/>
      <c r="Q30" s="272">
        <v>10</v>
      </c>
      <c r="R30" s="270">
        <f t="shared" ref="R30:R49" si="1">$F$19*Q30*0.06</f>
        <v>6</v>
      </c>
      <c r="S30" s="270">
        <f t="shared" ref="S30:S49" si="2">C30*$G$16/1000</f>
        <v>59.85</v>
      </c>
      <c r="T30" s="271">
        <f t="shared" ref="T30:T49" si="3">IF(S30-R30&gt;0, S30-R30,0)</f>
        <v>53.85</v>
      </c>
    </row>
    <row r="31" spans="1:21" s="32" customFormat="1" ht="9.9499999999999993" customHeight="1" x14ac:dyDescent="0.2">
      <c r="A31" s="805" t="s">
        <v>4</v>
      </c>
      <c r="B31" s="806"/>
      <c r="C31" s="42">
        <f>HLOOKUP($C$26,'Bemessungsregendaten, kfu'!$D$20:$N$41,4,0)</f>
        <v>17.2</v>
      </c>
      <c r="D31" s="37">
        <f t="shared" si="0"/>
        <v>64.934892000000005</v>
      </c>
      <c r="E31" s="1245"/>
      <c r="F31" s="912"/>
      <c r="G31" s="912"/>
      <c r="H31" s="1246"/>
      <c r="I31" s="46"/>
      <c r="J31" s="46"/>
      <c r="K31" s="39"/>
      <c r="L31" s="46"/>
      <c r="M31" s="46"/>
      <c r="N31" s="46"/>
      <c r="Q31" s="272">
        <v>15</v>
      </c>
      <c r="R31" s="270">
        <f t="shared" si="1"/>
        <v>9</v>
      </c>
      <c r="S31" s="270">
        <f t="shared" si="2"/>
        <v>68.628</v>
      </c>
      <c r="T31" s="271">
        <f t="shared" si="3"/>
        <v>59.628</v>
      </c>
    </row>
    <row r="32" spans="1:21" s="32" customFormat="1" ht="9.9499999999999993" customHeight="1" x14ac:dyDescent="0.2">
      <c r="A32" s="805" t="s">
        <v>5</v>
      </c>
      <c r="B32" s="806"/>
      <c r="C32" s="42">
        <f>HLOOKUP($C$26,'Bemessungsregendaten, kfu'!$D$20:$N$41,5,0)</f>
        <v>18.899999999999999</v>
      </c>
      <c r="D32" s="37">
        <f t="shared" si="0"/>
        <v>69.054579000000018</v>
      </c>
      <c r="E32" s="1245"/>
      <c r="F32" s="912"/>
      <c r="G32" s="912"/>
      <c r="H32" s="1246"/>
      <c r="I32" s="46"/>
      <c r="K32" s="39"/>
      <c r="L32" s="46"/>
      <c r="M32" s="46"/>
      <c r="N32" s="46"/>
      <c r="Q32" s="272">
        <v>20</v>
      </c>
      <c r="R32" s="270">
        <f t="shared" si="1"/>
        <v>12</v>
      </c>
      <c r="S32" s="270">
        <f t="shared" si="2"/>
        <v>75.411000000000001</v>
      </c>
      <c r="T32" s="271">
        <f t="shared" si="3"/>
        <v>63.411000000000001</v>
      </c>
    </row>
    <row r="33" spans="1:20" s="32" customFormat="1" ht="9.9499999999999993" customHeight="1" x14ac:dyDescent="0.2">
      <c r="A33" s="805" t="s">
        <v>7</v>
      </c>
      <c r="B33" s="806"/>
      <c r="C33" s="42">
        <f>HLOOKUP($C$26,'Bemessungsregendaten, kfu'!$D$20:$N$41,6,0)</f>
        <v>21.6</v>
      </c>
      <c r="D33" s="37">
        <f t="shared" si="0"/>
        <v>74.252376000000012</v>
      </c>
      <c r="E33" s="1245"/>
      <c r="F33" s="912"/>
      <c r="G33" s="912"/>
      <c r="H33" s="1246"/>
      <c r="I33" s="46"/>
      <c r="J33" s="46"/>
      <c r="K33" s="39"/>
      <c r="L33" s="46"/>
      <c r="M33" s="46"/>
      <c r="N33" s="46"/>
      <c r="Q33" s="272">
        <v>30</v>
      </c>
      <c r="R33" s="270">
        <f t="shared" si="1"/>
        <v>18</v>
      </c>
      <c r="S33" s="270">
        <f t="shared" si="2"/>
        <v>86.183999999999997</v>
      </c>
      <c r="T33" s="271">
        <f t="shared" si="3"/>
        <v>68.183999999999997</v>
      </c>
    </row>
    <row r="34" spans="1:20" s="32" customFormat="1" ht="9.9499999999999993" customHeight="1" x14ac:dyDescent="0.2">
      <c r="A34" s="805" t="s">
        <v>6</v>
      </c>
      <c r="B34" s="806"/>
      <c r="C34" s="42">
        <f>HLOOKUP($C$26,'Bemessungsregendaten, kfu'!$D$20:$N$41,7,0)</f>
        <v>24.5</v>
      </c>
      <c r="D34" s="37">
        <f t="shared" si="0"/>
        <v>77.052194999999998</v>
      </c>
      <c r="E34" s="1245"/>
      <c r="F34" s="912"/>
      <c r="G34" s="912"/>
      <c r="H34" s="1246"/>
      <c r="I34" s="46"/>
      <c r="J34" s="46"/>
      <c r="K34" s="39"/>
      <c r="L34" s="46"/>
      <c r="M34" s="46"/>
      <c r="N34" s="46"/>
      <c r="Q34" s="272">
        <v>45</v>
      </c>
      <c r="R34" s="270">
        <f t="shared" si="1"/>
        <v>27</v>
      </c>
      <c r="S34" s="270">
        <f t="shared" si="2"/>
        <v>97.754999999999995</v>
      </c>
      <c r="T34" s="271">
        <f t="shared" si="3"/>
        <v>70.754999999999995</v>
      </c>
    </row>
    <row r="35" spans="1:20" s="32" customFormat="1" ht="9.9499999999999993" customHeight="1" x14ac:dyDescent="0.2">
      <c r="A35" s="805" t="s">
        <v>8</v>
      </c>
      <c r="B35" s="806"/>
      <c r="C35" s="42">
        <f>HLOOKUP($C$26,'Bemessungsregendaten, kfu'!$D$20:$N$41,8,0)</f>
        <v>26.5</v>
      </c>
      <c r="D35" s="37">
        <f t="shared" si="0"/>
        <v>75.941415000000006</v>
      </c>
      <c r="E35" s="1245"/>
      <c r="F35" s="912"/>
      <c r="G35" s="912"/>
      <c r="H35" s="1246"/>
      <c r="I35" s="46"/>
      <c r="J35" s="46"/>
      <c r="K35" s="39"/>
      <c r="L35" s="46"/>
      <c r="M35" s="46"/>
      <c r="N35" s="46"/>
      <c r="Q35" s="272">
        <v>60</v>
      </c>
      <c r="R35" s="270">
        <f t="shared" si="1"/>
        <v>36</v>
      </c>
      <c r="S35" s="270">
        <f t="shared" si="2"/>
        <v>105.735</v>
      </c>
      <c r="T35" s="271">
        <f t="shared" si="3"/>
        <v>69.734999999999999</v>
      </c>
    </row>
    <row r="36" spans="1:20" s="32" customFormat="1" ht="9.9499999999999993" customHeight="1" x14ac:dyDescent="0.2">
      <c r="A36" s="805" t="s">
        <v>9</v>
      </c>
      <c r="B36" s="806"/>
      <c r="C36" s="42">
        <f>HLOOKUP($C$26,'Bemessungsregendaten, kfu'!$D$20:$N$41,9,0)</f>
        <v>29.5</v>
      </c>
      <c r="D36" s="37">
        <f t="shared" si="0"/>
        <v>69.374745000000004</v>
      </c>
      <c r="E36" s="1245"/>
      <c r="F36" s="912"/>
      <c r="G36" s="912"/>
      <c r="H36" s="1246"/>
      <c r="I36" s="46"/>
      <c r="J36" s="46"/>
      <c r="K36" s="39"/>
      <c r="L36" s="46"/>
      <c r="M36" s="46"/>
      <c r="N36" s="46"/>
      <c r="Q36" s="272">
        <v>90</v>
      </c>
      <c r="R36" s="270">
        <f t="shared" si="1"/>
        <v>54</v>
      </c>
      <c r="S36" s="270">
        <f t="shared" si="2"/>
        <v>117.705</v>
      </c>
      <c r="T36" s="271">
        <f t="shared" si="3"/>
        <v>63.704999999999998</v>
      </c>
    </row>
    <row r="37" spans="1:20" s="32" customFormat="1" ht="9.9499999999999993" customHeight="1" x14ac:dyDescent="0.2">
      <c r="A37" s="805" t="s">
        <v>10</v>
      </c>
      <c r="B37" s="806"/>
      <c r="C37" s="42">
        <f>HLOOKUP($C$26,'Bemessungsregendaten, kfu'!$D$20:$N$41,10,0)</f>
        <v>32</v>
      </c>
      <c r="D37" s="37">
        <f t="shared" si="0"/>
        <v>60.635520000000014</v>
      </c>
      <c r="E37" s="1245"/>
      <c r="F37" s="912"/>
      <c r="G37" s="912"/>
      <c r="H37" s="1246"/>
      <c r="I37" s="46"/>
      <c r="J37" s="46"/>
      <c r="K37" s="39"/>
      <c r="L37" s="46"/>
      <c r="M37" s="46"/>
      <c r="N37" s="46"/>
      <c r="Q37" s="272">
        <v>120</v>
      </c>
      <c r="R37" s="270">
        <f t="shared" si="1"/>
        <v>72</v>
      </c>
      <c r="S37" s="270">
        <f t="shared" si="2"/>
        <v>127.68</v>
      </c>
      <c r="T37" s="271">
        <f t="shared" si="3"/>
        <v>55.680000000000007</v>
      </c>
    </row>
    <row r="38" spans="1:20" s="32" customFormat="1" ht="9.9499999999999993" customHeight="1" x14ac:dyDescent="0.2">
      <c r="A38" s="805" t="s">
        <v>11</v>
      </c>
      <c r="B38" s="806"/>
      <c r="C38" s="42">
        <f>HLOOKUP($C$26,'Bemessungsregendaten, kfu'!$D$20:$N$41,11,0)</f>
        <v>36.1</v>
      </c>
      <c r="D38" s="37">
        <f t="shared" si="0"/>
        <v>39.246470999999993</v>
      </c>
      <c r="E38" s="1245"/>
      <c r="F38" s="912"/>
      <c r="G38" s="912"/>
      <c r="H38" s="1246"/>
      <c r="I38" s="46"/>
      <c r="J38" s="46"/>
      <c r="K38" s="39"/>
      <c r="L38" s="46"/>
      <c r="M38" s="46"/>
      <c r="N38" s="46"/>
      <c r="Q38" s="272">
        <v>180</v>
      </c>
      <c r="R38" s="270">
        <f t="shared" si="1"/>
        <v>108</v>
      </c>
      <c r="S38" s="270">
        <f t="shared" si="2"/>
        <v>144.03899999999999</v>
      </c>
      <c r="T38" s="271">
        <f t="shared" si="3"/>
        <v>36.038999999999987</v>
      </c>
    </row>
    <row r="39" spans="1:20" s="32" customFormat="1" ht="9.9499999999999993" customHeight="1" x14ac:dyDescent="0.2">
      <c r="A39" s="805" t="s">
        <v>12</v>
      </c>
      <c r="B39" s="806"/>
      <c r="C39" s="42">
        <f>HLOOKUP($C$26,'Bemessungsregendaten, kfu'!$D$20:$N$41,12,0)</f>
        <v>39.200000000000003</v>
      </c>
      <c r="D39" s="37">
        <f t="shared" si="0"/>
        <v>13.512311999999987</v>
      </c>
      <c r="E39" s="1245"/>
      <c r="F39" s="912"/>
      <c r="G39" s="912"/>
      <c r="H39" s="1246"/>
      <c r="I39" s="46"/>
      <c r="J39" s="46"/>
      <c r="K39" s="39"/>
      <c r="L39" s="46"/>
      <c r="M39" s="46"/>
      <c r="N39" s="46"/>
      <c r="Q39" s="272">
        <v>240</v>
      </c>
      <c r="R39" s="270">
        <f t="shared" si="1"/>
        <v>144</v>
      </c>
      <c r="S39" s="270">
        <f t="shared" si="2"/>
        <v>156.40799999999999</v>
      </c>
      <c r="T39" s="271">
        <f t="shared" si="3"/>
        <v>12.407999999999987</v>
      </c>
    </row>
    <row r="40" spans="1:20" s="32" customFormat="1" ht="9.9499999999999993" customHeight="1" x14ac:dyDescent="0.2">
      <c r="A40" s="805" t="s">
        <v>13</v>
      </c>
      <c r="B40" s="806"/>
      <c r="C40" s="42">
        <f>HLOOKUP($C$26,'Bemessungsregendaten, kfu'!$D$20:$N$41,13,0)</f>
        <v>45.8</v>
      </c>
      <c r="D40" s="37">
        <f t="shared" si="0"/>
        <v>0</v>
      </c>
      <c r="E40" s="1245"/>
      <c r="F40" s="912"/>
      <c r="G40" s="912"/>
      <c r="H40" s="1246"/>
      <c r="I40" s="46"/>
      <c r="J40" s="46"/>
      <c r="K40" s="39"/>
      <c r="L40" s="46"/>
      <c r="M40" s="46"/>
      <c r="N40" s="46"/>
      <c r="Q40" s="272">
        <v>360</v>
      </c>
      <c r="R40" s="270">
        <f t="shared" si="1"/>
        <v>216</v>
      </c>
      <c r="S40" s="270">
        <f t="shared" si="2"/>
        <v>182.74199999999999</v>
      </c>
      <c r="T40" s="271">
        <f t="shared" si="3"/>
        <v>0</v>
      </c>
    </row>
    <row r="41" spans="1:20" s="32" customFormat="1" ht="9.9499999999999993" customHeight="1" x14ac:dyDescent="0.2">
      <c r="A41" s="805" t="s">
        <v>14</v>
      </c>
      <c r="B41" s="806"/>
      <c r="C41" s="42">
        <f>HLOOKUP($C$26,'Bemessungsregendaten, kfu'!$D$20:$N$41,14,0)</f>
        <v>53.5</v>
      </c>
      <c r="D41" s="37">
        <f t="shared" si="0"/>
        <v>0</v>
      </c>
      <c r="E41" s="1245"/>
      <c r="F41" s="912"/>
      <c r="G41" s="912"/>
      <c r="H41" s="1246"/>
      <c r="I41" s="46"/>
      <c r="J41" s="46"/>
      <c r="K41" s="39"/>
      <c r="L41" s="46"/>
      <c r="M41" s="46"/>
      <c r="N41" s="46"/>
      <c r="Q41" s="272">
        <v>540</v>
      </c>
      <c r="R41" s="270">
        <f t="shared" si="1"/>
        <v>324</v>
      </c>
      <c r="S41" s="270">
        <f t="shared" si="2"/>
        <v>213.465</v>
      </c>
      <c r="T41" s="271">
        <f t="shared" si="3"/>
        <v>0</v>
      </c>
    </row>
    <row r="42" spans="1:20" s="32" customFormat="1" ht="9.9499999999999993" customHeight="1" x14ac:dyDescent="0.2">
      <c r="A42" s="805" t="s">
        <v>15</v>
      </c>
      <c r="B42" s="806"/>
      <c r="C42" s="42">
        <f>HLOOKUP($C$26,'Bemessungsregendaten, kfu'!$D$20:$N$41,15,0)</f>
        <v>59.3</v>
      </c>
      <c r="D42" s="37">
        <f t="shared" si="0"/>
        <v>0</v>
      </c>
      <c r="E42" s="1245"/>
      <c r="F42" s="912"/>
      <c r="G42" s="912"/>
      <c r="H42" s="1246"/>
      <c r="I42" s="46"/>
      <c r="J42" s="46"/>
      <c r="K42" s="39"/>
      <c r="L42" s="46"/>
      <c r="M42" s="46"/>
      <c r="N42" s="46"/>
      <c r="Q42" s="272">
        <v>720</v>
      </c>
      <c r="R42" s="270">
        <f t="shared" si="1"/>
        <v>432</v>
      </c>
      <c r="S42" s="270">
        <f t="shared" si="2"/>
        <v>236.607</v>
      </c>
      <c r="T42" s="271">
        <f t="shared" si="3"/>
        <v>0</v>
      </c>
    </row>
    <row r="43" spans="1:20" s="32" customFormat="1" ht="9.9499999999999993" customHeight="1" x14ac:dyDescent="0.2">
      <c r="A43" s="805" t="s">
        <v>16</v>
      </c>
      <c r="B43" s="806"/>
      <c r="C43" s="42">
        <f>HLOOKUP($C$26,'Bemessungsregendaten, kfu'!$D$20:$N$41,16,0)</f>
        <v>67.900000000000006</v>
      </c>
      <c r="D43" s="37">
        <f t="shared" si="0"/>
        <v>0</v>
      </c>
      <c r="E43" s="1245"/>
      <c r="F43" s="912"/>
      <c r="G43" s="912"/>
      <c r="H43" s="1246"/>
      <c r="I43" s="46"/>
      <c r="J43" s="46"/>
      <c r="K43" s="39"/>
      <c r="L43" s="46"/>
      <c r="M43" s="46"/>
      <c r="N43" s="46"/>
      <c r="Q43" s="272">
        <v>1080</v>
      </c>
      <c r="R43" s="270">
        <f t="shared" si="1"/>
        <v>648</v>
      </c>
      <c r="S43" s="270">
        <f t="shared" si="2"/>
        <v>270.92099999999999</v>
      </c>
      <c r="T43" s="271">
        <f t="shared" si="3"/>
        <v>0</v>
      </c>
    </row>
    <row r="44" spans="1:20" s="32" customFormat="1" ht="9.9499999999999993" customHeight="1" x14ac:dyDescent="0.2">
      <c r="A44" s="805" t="s">
        <v>17</v>
      </c>
      <c r="B44" s="806"/>
      <c r="C44" s="42">
        <f>HLOOKUP($C$26,'Bemessungsregendaten, kfu'!$D$20:$N$41,17,0)</f>
        <v>70.400000000000006</v>
      </c>
      <c r="D44" s="37">
        <f t="shared" si="0"/>
        <v>0</v>
      </c>
      <c r="E44" s="1245"/>
      <c r="F44" s="912"/>
      <c r="G44" s="912"/>
      <c r="H44" s="1246"/>
      <c r="I44" s="46"/>
      <c r="J44" s="46"/>
      <c r="K44" s="39"/>
      <c r="L44" s="46"/>
      <c r="M44" s="46"/>
      <c r="N44" s="46"/>
      <c r="Q44" s="272">
        <v>1440</v>
      </c>
      <c r="R44" s="270">
        <f t="shared" si="1"/>
        <v>864</v>
      </c>
      <c r="S44" s="270">
        <f t="shared" si="2"/>
        <v>280.89600000000002</v>
      </c>
      <c r="T44" s="271">
        <f t="shared" si="3"/>
        <v>0</v>
      </c>
    </row>
    <row r="45" spans="1:20" s="32" customFormat="1" ht="9.9499999999999993" customHeight="1" x14ac:dyDescent="0.2">
      <c r="A45" s="805" t="s">
        <v>18</v>
      </c>
      <c r="B45" s="806"/>
      <c r="C45" s="42">
        <f>HLOOKUP($C$26,'Bemessungsregendaten, kfu'!$D$20:$N$41,18,0)</f>
        <v>83.6</v>
      </c>
      <c r="D45" s="37">
        <f t="shared" si="0"/>
        <v>0</v>
      </c>
      <c r="E45" s="1245"/>
      <c r="F45" s="912"/>
      <c r="G45" s="912"/>
      <c r="H45" s="1246"/>
      <c r="I45" s="46"/>
      <c r="J45" s="46"/>
      <c r="K45" s="39"/>
      <c r="L45" s="46"/>
      <c r="M45" s="46"/>
      <c r="N45" s="46"/>
      <c r="Q45" s="272">
        <v>2880</v>
      </c>
      <c r="R45" s="270">
        <f t="shared" si="1"/>
        <v>1728</v>
      </c>
      <c r="S45" s="270">
        <f t="shared" si="2"/>
        <v>333.56400000000002</v>
      </c>
      <c r="T45" s="271">
        <f t="shared" si="3"/>
        <v>0</v>
      </c>
    </row>
    <row r="46" spans="1:20" s="32" customFormat="1" ht="9.9499999999999993" customHeight="1" x14ac:dyDescent="0.2">
      <c r="A46" s="805" t="s">
        <v>19</v>
      </c>
      <c r="B46" s="806"/>
      <c r="C46" s="42">
        <f>HLOOKUP($C$26,'Bemessungsregendaten, kfu'!$D$20:$N$41,19,0)</f>
        <v>92.6</v>
      </c>
      <c r="D46" s="37">
        <f t="shared" si="0"/>
        <v>0</v>
      </c>
      <c r="E46" s="1245"/>
      <c r="F46" s="912"/>
      <c r="G46" s="912"/>
      <c r="H46" s="1246"/>
      <c r="I46" s="46"/>
      <c r="J46" s="46"/>
      <c r="K46" s="39"/>
      <c r="L46" s="46"/>
      <c r="M46" s="46"/>
      <c r="N46" s="46"/>
      <c r="Q46" s="272">
        <v>4320</v>
      </c>
      <c r="R46" s="270">
        <f t="shared" si="1"/>
        <v>2592</v>
      </c>
      <c r="S46" s="270">
        <f t="shared" si="2"/>
        <v>369.47399999999999</v>
      </c>
      <c r="T46" s="271">
        <f t="shared" si="3"/>
        <v>0</v>
      </c>
    </row>
    <row r="47" spans="1:20" s="32" customFormat="1" ht="9.9499999999999993" customHeight="1" x14ac:dyDescent="0.2">
      <c r="A47" s="805" t="s">
        <v>20</v>
      </c>
      <c r="B47" s="806"/>
      <c r="C47" s="42">
        <f>HLOOKUP($C$26,'Bemessungsregendaten, kfu'!$D$20:$N$41,20,0)</f>
        <v>99.1</v>
      </c>
      <c r="D47" s="37">
        <f t="shared" si="0"/>
        <v>0</v>
      </c>
      <c r="E47" s="1245"/>
      <c r="F47" s="912"/>
      <c r="G47" s="912"/>
      <c r="H47" s="1246"/>
      <c r="I47" s="46"/>
      <c r="J47" s="46"/>
      <c r="K47" s="39"/>
      <c r="L47" s="46"/>
      <c r="M47" s="46"/>
      <c r="N47" s="46"/>
      <c r="Q47" s="272">
        <v>5760</v>
      </c>
      <c r="R47" s="270">
        <f t="shared" si="1"/>
        <v>3456</v>
      </c>
      <c r="S47" s="270">
        <f t="shared" si="2"/>
        <v>395.40899999999999</v>
      </c>
      <c r="T47" s="271">
        <f t="shared" si="3"/>
        <v>0</v>
      </c>
    </row>
    <row r="48" spans="1:20" s="32" customFormat="1" ht="9.9499999999999993" customHeight="1" x14ac:dyDescent="0.2">
      <c r="A48" s="805" t="s">
        <v>21</v>
      </c>
      <c r="B48" s="806"/>
      <c r="C48" s="42">
        <f>HLOOKUP($C$26,'Bemessungsregendaten, kfu'!$D$20:$N$41,21,0)</f>
        <v>104.4</v>
      </c>
      <c r="D48" s="37">
        <f t="shared" si="0"/>
        <v>0</v>
      </c>
      <c r="E48" s="1245"/>
      <c r="F48" s="912"/>
      <c r="G48" s="912"/>
      <c r="H48" s="1246"/>
      <c r="I48" s="46"/>
      <c r="J48" s="46"/>
      <c r="K48" s="39"/>
      <c r="L48" s="46"/>
      <c r="M48" s="46"/>
      <c r="N48" s="46"/>
      <c r="Q48" s="272">
        <v>7200</v>
      </c>
      <c r="R48" s="270">
        <f t="shared" si="1"/>
        <v>4320</v>
      </c>
      <c r="S48" s="270">
        <f t="shared" si="2"/>
        <v>416.55599999999998</v>
      </c>
      <c r="T48" s="271">
        <f t="shared" si="3"/>
        <v>0</v>
      </c>
    </row>
    <row r="49" spans="1:20" s="32" customFormat="1" ht="9.9499999999999993" customHeight="1" thickBot="1" x14ac:dyDescent="0.25">
      <c r="A49" s="807" t="s">
        <v>22</v>
      </c>
      <c r="B49" s="808"/>
      <c r="C49" s="43">
        <f>HLOOKUP($C$26,'Bemessungsregendaten, kfu'!$D$20:$N$304,22,0)</f>
        <v>110.1</v>
      </c>
      <c r="D49" s="37">
        <f t="shared" si="0"/>
        <v>0</v>
      </c>
      <c r="E49" s="1247"/>
      <c r="F49" s="1248"/>
      <c r="G49" s="1248"/>
      <c r="H49" s="1249"/>
      <c r="I49" s="46"/>
      <c r="J49" s="46"/>
      <c r="K49" s="39"/>
      <c r="L49" s="46"/>
      <c r="M49" s="46"/>
      <c r="N49" s="46"/>
      <c r="Q49" s="272">
        <v>8640</v>
      </c>
      <c r="R49" s="270">
        <f t="shared" si="1"/>
        <v>5184</v>
      </c>
      <c r="S49" s="270">
        <f t="shared" si="2"/>
        <v>439.29899999999998</v>
      </c>
      <c r="T49" s="271">
        <f t="shared" si="3"/>
        <v>0</v>
      </c>
    </row>
    <row r="50" spans="1:20" ht="16.5" customHeight="1" thickBot="1" x14ac:dyDescent="0.25">
      <c r="A50" s="1280"/>
      <c r="B50" s="1280"/>
      <c r="C50" s="1280"/>
      <c r="D50" s="1280"/>
      <c r="E50" s="1280"/>
      <c r="F50" s="1280"/>
      <c r="G50" s="1280"/>
      <c r="H50" s="1280"/>
      <c r="I50" s="11"/>
      <c r="J50" s="11"/>
      <c r="K50" s="11"/>
      <c r="L50" s="11"/>
      <c r="M50" s="11"/>
      <c r="N50" s="11"/>
    </row>
    <row r="51" spans="1:20" ht="16.5" customHeight="1" thickBot="1" x14ac:dyDescent="0.25">
      <c r="A51" s="821" t="s">
        <v>101</v>
      </c>
      <c r="B51" s="822"/>
      <c r="C51" s="822"/>
      <c r="D51" s="822"/>
      <c r="E51" s="822"/>
      <c r="F51" s="822"/>
      <c r="G51" s="822"/>
      <c r="H51" s="823"/>
      <c r="I51" s="63"/>
      <c r="J51" s="63"/>
      <c r="K51" s="63"/>
      <c r="L51" s="63"/>
      <c r="M51" s="63"/>
      <c r="N51" s="63"/>
    </row>
    <row r="52" spans="1:20" ht="12" customHeight="1" x14ac:dyDescent="0.2">
      <c r="A52" s="1270" t="s">
        <v>175</v>
      </c>
      <c r="B52" s="1271"/>
      <c r="C52" s="1274">
        <f>C26</f>
        <v>5</v>
      </c>
      <c r="D52" s="1275"/>
      <c r="E52" s="108"/>
      <c r="F52" s="61"/>
      <c r="G52" s="61"/>
      <c r="H52" s="109"/>
      <c r="I52" s="12"/>
      <c r="J52" s="12"/>
      <c r="K52" s="12"/>
      <c r="L52" s="839"/>
      <c r="M52" s="839"/>
      <c r="N52" s="839"/>
    </row>
    <row r="53" spans="1:20" ht="27" customHeight="1" x14ac:dyDescent="0.2">
      <c r="A53" s="1278" t="s">
        <v>65</v>
      </c>
      <c r="B53" s="1279"/>
      <c r="C53" s="1281">
        <f>MAX(D29:D49)</f>
        <v>77.052194999999998</v>
      </c>
      <c r="D53" s="1282"/>
      <c r="E53" s="1276"/>
      <c r="F53" s="1277"/>
      <c r="G53" s="1277"/>
      <c r="H53" s="1287"/>
      <c r="I53" s="12"/>
      <c r="J53" s="12"/>
      <c r="K53" s="12"/>
      <c r="L53" s="839"/>
      <c r="M53" s="839"/>
      <c r="N53" s="839"/>
    </row>
    <row r="54" spans="1:20" ht="13.5" customHeight="1" thickBot="1" x14ac:dyDescent="0.25">
      <c r="A54" s="1272" t="s">
        <v>67</v>
      </c>
      <c r="B54" s="1273"/>
      <c r="C54" s="126" t="str">
        <f>IF((MAX(D29:D49)&gt;0),(INDEX(A29:A49,MATCH(MAX(D29:D49),D29:D49,0))),"-")</f>
        <v>45 min.</v>
      </c>
      <c r="D54" s="127">
        <f>IF((MAX(D29:D49)&gt;0),(INDEX(C29:C49,MATCH(MAX(D29:D49),D29:D49,0))),"-")</f>
        <v>24.5</v>
      </c>
      <c r="E54" s="86"/>
      <c r="F54" s="87"/>
      <c r="G54" s="88"/>
      <c r="H54" s="89"/>
      <c r="I54" s="12"/>
      <c r="J54" s="12"/>
      <c r="K54" s="12"/>
      <c r="L54" s="839"/>
      <c r="M54" s="839"/>
      <c r="N54" s="839"/>
      <c r="O54" s="21"/>
    </row>
    <row r="55" spans="1:20" ht="7.5" customHeight="1" thickBot="1" x14ac:dyDescent="0.25">
      <c r="A55" s="94"/>
      <c r="B55" s="95"/>
      <c r="C55" s="95"/>
      <c r="D55" s="95"/>
      <c r="E55" s="95"/>
      <c r="F55" s="95"/>
      <c r="G55" s="95"/>
      <c r="H55" s="100"/>
      <c r="I55" s="64"/>
      <c r="J55" s="64"/>
      <c r="K55" s="64"/>
      <c r="L55" s="64"/>
      <c r="M55" s="64"/>
      <c r="N55" s="64"/>
    </row>
    <row r="56" spans="1:20" ht="51.75" customHeight="1" x14ac:dyDescent="0.2">
      <c r="A56" s="90"/>
      <c r="B56" s="90"/>
      <c r="C56" s="90"/>
      <c r="D56" s="90"/>
      <c r="E56" s="90"/>
      <c r="F56" s="90"/>
      <c r="G56" s="90"/>
      <c r="H56" s="90"/>
      <c r="I56" s="64"/>
      <c r="J56" s="64"/>
      <c r="K56" s="64"/>
      <c r="L56" s="64"/>
      <c r="M56" s="64"/>
      <c r="N56" s="64"/>
    </row>
    <row r="57" spans="1:20" ht="72" customHeight="1" x14ac:dyDescent="0.2">
      <c r="A57" s="876"/>
      <c r="B57" s="876"/>
      <c r="C57" s="876"/>
      <c r="D57" s="876"/>
      <c r="E57" s="876"/>
      <c r="F57" s="876"/>
      <c r="G57" s="876"/>
      <c r="H57" s="876"/>
      <c r="I57" s="64"/>
      <c r="J57" s="64"/>
      <c r="K57" s="64"/>
      <c r="L57" s="64"/>
      <c r="M57" s="64"/>
      <c r="N57" s="64"/>
    </row>
    <row r="58" spans="1:20" x14ac:dyDescent="0.2">
      <c r="A58" s="876"/>
      <c r="B58" s="876"/>
      <c r="C58" s="876"/>
      <c r="D58" s="876"/>
      <c r="E58" s="876"/>
      <c r="F58" s="876"/>
      <c r="G58" s="876"/>
      <c r="H58" s="876"/>
      <c r="I58" s="64"/>
      <c r="J58" s="64"/>
      <c r="K58" s="64"/>
      <c r="L58" s="64"/>
      <c r="M58" s="64"/>
      <c r="N58" s="64"/>
    </row>
    <row r="59" spans="1:20" ht="46.5" customHeight="1" x14ac:dyDescent="0.2">
      <c r="A59" s="876"/>
      <c r="B59" s="876"/>
      <c r="C59" s="876"/>
      <c r="D59" s="876"/>
      <c r="E59" s="876"/>
      <c r="F59" s="876"/>
      <c r="G59" s="876"/>
      <c r="H59" s="876"/>
      <c r="I59" s="64"/>
      <c r="J59" s="64"/>
      <c r="K59" s="64"/>
      <c r="L59" s="64"/>
      <c r="M59" s="64"/>
      <c r="N59" s="64"/>
    </row>
    <row r="60" spans="1:20" ht="50.25" customHeight="1" x14ac:dyDescent="0.2">
      <c r="A60" s="876"/>
      <c r="B60" s="876"/>
      <c r="C60" s="876"/>
      <c r="D60" s="876"/>
      <c r="E60" s="876"/>
      <c r="F60" s="876"/>
      <c r="G60" s="876"/>
      <c r="H60" s="876"/>
      <c r="I60" s="64"/>
      <c r="J60" s="64"/>
      <c r="K60" s="64"/>
      <c r="L60" s="64"/>
      <c r="M60" s="64"/>
      <c r="N60" s="64"/>
    </row>
    <row r="61" spans="1:20" ht="129" customHeight="1" x14ac:dyDescent="0.2">
      <c r="A61" s="876"/>
      <c r="B61" s="876"/>
      <c r="C61" s="876"/>
      <c r="D61" s="876"/>
      <c r="E61" s="876"/>
      <c r="F61" s="876"/>
      <c r="G61" s="876"/>
      <c r="H61" s="876"/>
      <c r="I61" s="64"/>
      <c r="J61" s="64"/>
      <c r="K61" s="64"/>
      <c r="L61" s="64"/>
      <c r="M61" s="64"/>
      <c r="N61" s="64"/>
    </row>
    <row r="62" spans="1:20" x14ac:dyDescent="0.2">
      <c r="A62" s="876"/>
      <c r="B62" s="876"/>
      <c r="C62" s="12"/>
      <c r="D62" s="12"/>
      <c r="E62" s="12"/>
      <c r="F62" s="12"/>
      <c r="G62" s="12"/>
      <c r="H62" s="12"/>
      <c r="I62" s="12"/>
      <c r="J62" s="12"/>
      <c r="K62" s="12"/>
      <c r="L62" s="12"/>
      <c r="M62" s="12"/>
      <c r="N62" s="12"/>
    </row>
    <row r="63" spans="1:20" ht="28.5" customHeight="1" x14ac:dyDescent="0.2">
      <c r="A63" s="1269"/>
      <c r="B63" s="1269"/>
      <c r="C63" s="12"/>
      <c r="D63" s="12"/>
      <c r="E63" s="12"/>
      <c r="F63" s="12"/>
      <c r="G63" s="12"/>
      <c r="H63" s="12"/>
      <c r="I63" s="12"/>
      <c r="J63" s="12"/>
      <c r="K63" s="12"/>
      <c r="L63" s="12"/>
      <c r="M63" s="12"/>
      <c r="N63" s="12"/>
    </row>
    <row r="64" spans="1:20" x14ac:dyDescent="0.2">
      <c r="A64" s="894"/>
      <c r="B64" s="894"/>
      <c r="C64" s="3"/>
      <c r="D64" s="3"/>
      <c r="I64" s="12"/>
      <c r="J64" s="12"/>
      <c r="K64" s="12"/>
      <c r="L64" s="12"/>
      <c r="M64" s="12"/>
      <c r="N64" s="23"/>
    </row>
    <row r="65" spans="1:20" ht="28.5" customHeight="1" x14ac:dyDescent="0.2">
      <c r="A65" s="864"/>
      <c r="B65" s="864"/>
      <c r="C65" s="2"/>
      <c r="D65" s="901"/>
      <c r="E65" s="901"/>
      <c r="F65" s="2"/>
      <c r="I65" s="12"/>
      <c r="J65" s="12"/>
      <c r="K65" s="12"/>
      <c r="L65" s="12"/>
      <c r="M65" s="12"/>
      <c r="N65" s="23"/>
    </row>
    <row r="66" spans="1:20" ht="36" customHeight="1" x14ac:dyDescent="0.2">
      <c r="A66" s="866"/>
      <c r="B66" s="866"/>
      <c r="C66" s="7"/>
      <c r="D66" s="6"/>
      <c r="F66" s="2"/>
      <c r="I66" s="12"/>
      <c r="J66" s="12"/>
      <c r="K66" s="12"/>
      <c r="L66" s="12"/>
      <c r="M66" s="12"/>
      <c r="N66" s="23"/>
    </row>
    <row r="67" spans="1:20" s="1" customFormat="1" ht="72" customHeight="1" x14ac:dyDescent="0.2">
      <c r="A67" s="864"/>
      <c r="B67" s="864"/>
      <c r="C67" s="4"/>
      <c r="D67" s="6"/>
      <c r="F67" s="4"/>
      <c r="I67" s="12"/>
      <c r="J67" s="12"/>
      <c r="K67" s="12"/>
      <c r="L67" s="12"/>
      <c r="M67" s="12"/>
      <c r="N67" s="23"/>
      <c r="O67"/>
      <c r="P67"/>
      <c r="Q67" s="262"/>
      <c r="R67" s="262"/>
      <c r="S67" s="262"/>
      <c r="T67" s="262"/>
    </row>
    <row r="68" spans="1:20" s="1" customFormat="1" x14ac:dyDescent="0.2">
      <c r="A68" s="865"/>
      <c r="B68" s="865"/>
      <c r="C68" s="2"/>
      <c r="D68" s="8"/>
      <c r="F68" s="2"/>
      <c r="I68" s="12"/>
      <c r="J68" s="12"/>
      <c r="K68" s="12"/>
      <c r="L68" s="12"/>
      <c r="M68" s="12"/>
      <c r="N68" s="23"/>
      <c r="O68"/>
      <c r="P68"/>
      <c r="Q68" s="262"/>
      <c r="R68" s="262"/>
      <c r="S68" s="262"/>
      <c r="T68" s="262"/>
    </row>
    <row r="69" spans="1:20" s="1" customFormat="1" ht="46.5" customHeight="1" x14ac:dyDescent="0.2">
      <c r="A69"/>
      <c r="F69" s="2"/>
      <c r="N69"/>
      <c r="O69"/>
      <c r="P69"/>
      <c r="Q69" s="262"/>
      <c r="R69" s="262"/>
      <c r="S69" s="262"/>
      <c r="T69" s="262"/>
    </row>
    <row r="70" spans="1:20" s="1" customFormat="1" ht="50.25" customHeight="1" x14ac:dyDescent="0.2">
      <c r="A70" s="864"/>
      <c r="B70" s="864"/>
      <c r="C70" s="4"/>
      <c r="D70" s="5"/>
      <c r="N70"/>
      <c r="O70"/>
      <c r="P70"/>
      <c r="Q70" s="262"/>
      <c r="R70" s="262"/>
      <c r="S70" s="262"/>
      <c r="T70" s="262"/>
    </row>
    <row r="71" spans="1:20" s="1" customFormat="1" x14ac:dyDescent="0.2">
      <c r="A71" s="894"/>
      <c r="B71" s="894"/>
      <c r="N71"/>
      <c r="O71"/>
      <c r="P71"/>
      <c r="Q71" s="262"/>
      <c r="R71" s="262"/>
      <c r="S71" s="262"/>
      <c r="T71" s="262"/>
    </row>
    <row r="72" spans="1:20" s="1" customFormat="1" x14ac:dyDescent="0.2">
      <c r="A72" s="584"/>
      <c r="B72" s="584"/>
      <c r="N72"/>
      <c r="O72"/>
      <c r="P72"/>
      <c r="Q72" s="262"/>
      <c r="R72" s="262"/>
      <c r="S72" s="262"/>
      <c r="T72" s="262"/>
    </row>
    <row r="73" spans="1:20" s="1" customFormat="1" ht="28.5" customHeight="1" x14ac:dyDescent="0.2">
      <c r="A73" s="893"/>
      <c r="B73" s="893"/>
      <c r="C73" s="12"/>
      <c r="D73" s="13"/>
      <c r="F73" s="2"/>
      <c r="N73"/>
      <c r="O73"/>
      <c r="P73"/>
      <c r="Q73" s="262"/>
      <c r="R73" s="262"/>
      <c r="S73" s="262"/>
      <c r="T73" s="262"/>
    </row>
    <row r="74" spans="1:20" s="1" customFormat="1" ht="29.25" customHeight="1" x14ac:dyDescent="0.2">
      <c r="A74" s="866"/>
      <c r="B74" s="867"/>
      <c r="C74" s="14"/>
      <c r="D74" s="15"/>
      <c r="F74" s="2"/>
      <c r="G74" s="2"/>
      <c r="H74" s="6"/>
      <c r="N74"/>
      <c r="O74"/>
      <c r="P74"/>
      <c r="Q74" s="262"/>
      <c r="R74" s="262"/>
      <c r="S74" s="262"/>
      <c r="T74" s="262"/>
    </row>
    <row r="75" spans="1:20" s="1" customFormat="1" x14ac:dyDescent="0.2">
      <c r="A75" s="865"/>
      <c r="B75" s="892"/>
      <c r="C75" s="16"/>
      <c r="D75" s="17"/>
      <c r="F75" s="2"/>
      <c r="H75" s="6"/>
      <c r="N75"/>
      <c r="O75"/>
      <c r="P75"/>
      <c r="Q75" s="262"/>
      <c r="R75" s="262"/>
      <c r="S75" s="262"/>
      <c r="T75" s="262"/>
    </row>
    <row r="76" spans="1:20" s="1" customFormat="1" ht="27.75" customHeight="1" x14ac:dyDescent="0.2">
      <c r="A76" s="866"/>
      <c r="B76" s="867"/>
      <c r="C76" s="14"/>
      <c r="D76" s="18"/>
      <c r="F76" s="4"/>
      <c r="H76" s="6"/>
      <c r="N76"/>
      <c r="O76"/>
      <c r="P76"/>
      <c r="Q76" s="262"/>
      <c r="R76" s="262"/>
      <c r="S76" s="262"/>
      <c r="T76" s="262"/>
    </row>
    <row r="77" spans="1:20" s="1" customFormat="1" x14ac:dyDescent="0.2">
      <c r="A77" s="584"/>
      <c r="B77" s="584"/>
      <c r="C77" s="12"/>
      <c r="D77" s="12"/>
      <c r="N77"/>
      <c r="O77"/>
      <c r="P77"/>
      <c r="Q77" s="262"/>
      <c r="R77" s="262"/>
      <c r="S77" s="262"/>
      <c r="T77" s="262"/>
    </row>
    <row r="78" spans="1:20" s="1" customFormat="1" x14ac:dyDescent="0.2">
      <c r="A78" s="584"/>
      <c r="B78" s="584"/>
      <c r="N78"/>
      <c r="O78"/>
      <c r="P78"/>
      <c r="Q78" s="262"/>
      <c r="R78" s="262"/>
      <c r="S78" s="262"/>
      <c r="T78" s="262"/>
    </row>
  </sheetData>
  <dataConsolidate/>
  <mergeCells count="101">
    <mergeCell ref="A1:N2"/>
    <mergeCell ref="A19:D19"/>
    <mergeCell ref="F19:G19"/>
    <mergeCell ref="G13:H13"/>
    <mergeCell ref="B11:C11"/>
    <mergeCell ref="B10:C10"/>
    <mergeCell ref="G10:H10"/>
    <mergeCell ref="E13:F13"/>
    <mergeCell ref="G16:H16"/>
    <mergeCell ref="A18:D18"/>
    <mergeCell ref="A9:H9"/>
    <mergeCell ref="E10:F10"/>
    <mergeCell ref="G11:H11"/>
    <mergeCell ref="B12:C12"/>
    <mergeCell ref="G12:H12"/>
    <mergeCell ref="L52:N54"/>
    <mergeCell ref="G53:H53"/>
    <mergeCell ref="A30:B30"/>
    <mergeCell ref="A32:B32"/>
    <mergeCell ref="C25:D25"/>
    <mergeCell ref="A45:B45"/>
    <mergeCell ref="C4:H4"/>
    <mergeCell ref="A5:B5"/>
    <mergeCell ref="C5:H5"/>
    <mergeCell ref="A4:B4"/>
    <mergeCell ref="E12:F12"/>
    <mergeCell ref="E14:F14"/>
    <mergeCell ref="E11:F11"/>
    <mergeCell ref="C6:H6"/>
    <mergeCell ref="A6:B6"/>
    <mergeCell ref="A7:H7"/>
    <mergeCell ref="K26:L26"/>
    <mergeCell ref="A37:B37"/>
    <mergeCell ref="A34:B34"/>
    <mergeCell ref="A44:B44"/>
    <mergeCell ref="A39:B39"/>
    <mergeCell ref="A42:B42"/>
    <mergeCell ref="A27:B27"/>
    <mergeCell ref="A8:H8"/>
    <mergeCell ref="K25:L25"/>
    <mergeCell ref="A50:H50"/>
    <mergeCell ref="C53:D53"/>
    <mergeCell ref="A38:B38"/>
    <mergeCell ref="A29:B29"/>
    <mergeCell ref="A25:B26"/>
    <mergeCell ref="A78:B78"/>
    <mergeCell ref="A68:B68"/>
    <mergeCell ref="A70:B70"/>
    <mergeCell ref="A71:B71"/>
    <mergeCell ref="A72:B72"/>
    <mergeCell ref="A73:B73"/>
    <mergeCell ref="A77:B77"/>
    <mergeCell ref="A74:B74"/>
    <mergeCell ref="A75:B75"/>
    <mergeCell ref="A76:B76"/>
    <mergeCell ref="A48:B48"/>
    <mergeCell ref="A46:B46"/>
    <mergeCell ref="A43:B43"/>
    <mergeCell ref="A36:B36"/>
    <mergeCell ref="A40:B40"/>
    <mergeCell ref="A31:B31"/>
    <mergeCell ref="A35:B35"/>
    <mergeCell ref="A33:B33"/>
    <mergeCell ref="A67:B67"/>
    <mergeCell ref="A62:B62"/>
    <mergeCell ref="A63:B63"/>
    <mergeCell ref="A66:B66"/>
    <mergeCell ref="A51:H51"/>
    <mergeCell ref="A65:B65"/>
    <mergeCell ref="D65:E65"/>
    <mergeCell ref="A52:B52"/>
    <mergeCell ref="A64:B64"/>
    <mergeCell ref="A54:B54"/>
    <mergeCell ref="A57:H61"/>
    <mergeCell ref="C52:D52"/>
    <mergeCell ref="E53:F53"/>
    <mergeCell ref="A53:B53"/>
    <mergeCell ref="A49:B49"/>
    <mergeCell ref="A41:B41"/>
    <mergeCell ref="A47:B47"/>
    <mergeCell ref="A28:B28"/>
    <mergeCell ref="F21:G21"/>
    <mergeCell ref="B13:C13"/>
    <mergeCell ref="C26:D26"/>
    <mergeCell ref="A22:D22"/>
    <mergeCell ref="A24:D24"/>
    <mergeCell ref="A20:D20"/>
    <mergeCell ref="E25:H49"/>
    <mergeCell ref="E24:H24"/>
    <mergeCell ref="F20:G20"/>
    <mergeCell ref="E15:F15"/>
    <mergeCell ref="B16:D16"/>
    <mergeCell ref="F22:G22"/>
    <mergeCell ref="F18:G18"/>
    <mergeCell ref="A21:D21"/>
    <mergeCell ref="A23:H23"/>
    <mergeCell ref="G14:H14"/>
    <mergeCell ref="B14:C14"/>
    <mergeCell ref="G15:H15"/>
    <mergeCell ref="E16:F16"/>
    <mergeCell ref="B15:C15"/>
  </mergeCells>
  <phoneticPr fontId="47" type="noConversion"/>
  <conditionalFormatting sqref="D29:D49">
    <cfRule type="cellIs" dxfId="2" priority="5" stopIfTrue="1" operator="lessThan">
      <formula>0.0000001</formula>
    </cfRule>
  </conditionalFormatting>
  <conditionalFormatting sqref="N28">
    <cfRule type="cellIs" dxfId="1" priority="3" stopIfTrue="1" operator="equal">
      <formula>"MAX($N$18:$N$39)"</formula>
    </cfRule>
  </conditionalFormatting>
  <conditionalFormatting sqref="F20:G20">
    <cfRule type="cellIs" dxfId="0" priority="1" stopIfTrue="1" operator="lessThan">
      <formula>2</formula>
    </cfRule>
  </conditionalFormatting>
  <dataValidations count="9">
    <dataValidation allowBlank="1" showErrorMessage="1" sqref="E53 J24:K26 L24:N31 K28:K31 J27:J31 I24:I31" xr:uid="{00000000-0002-0000-0B00-000000000000}"/>
    <dataValidation allowBlank="1" showInputMessage="1" showErrorMessage="1" promptTitle="Formel" prompt="Vs = (qs * Aent) / 1.000" sqref="D28" xr:uid="{00000000-0002-0000-0B00-000001000000}"/>
    <dataValidation allowBlank="1" showErrorMessage="1" prompt="aus ehyd-Datenbank" sqref="C27" xr:uid="{00000000-0002-0000-0B00-000002000000}"/>
    <dataValidation allowBlank="1" showErrorMessage="1" promptTitle="Formel" prompt="qv = kf * β * D * (As / Aent) * 60.000" sqref="R28:S28" xr:uid="{00000000-0002-0000-0B00-000003000000}"/>
    <dataValidation allowBlank="1" showErrorMessage="1" prompt="_x000a_" sqref="F22:G22 F19:F20 G19" xr:uid="{00000000-0002-0000-0B00-000004000000}"/>
    <dataValidation type="decimal" allowBlank="1" showErrorMessage="1" sqref="F21:G21" xr:uid="{00000000-0002-0000-0B00-000005000000}">
      <formula1>1.1</formula1>
      <formula2>1.2</formula2>
    </dataValidation>
    <dataValidation allowBlank="1" showErrorMessage="1" promptTitle="Formel" prompt="Vs = (qs * Aent) / 1.000" sqref="D27" xr:uid="{00000000-0002-0000-0B00-000007000000}"/>
    <dataValidation type="decimal" allowBlank="1" showInputMessage="1" showErrorMessage="1" sqref="D11:D15" xr:uid="{00000000-0002-0000-0B00-000008000000}">
      <formula1>0</formula1>
      <formula2>1</formula2>
    </dataValidation>
    <dataValidation allowBlank="1" showErrorMessage="1" promptTitle="An" prompt="Horizontalprojektion der jeweiligen Teilentwässerungsfläche in [m²]" sqref="E10:F10" xr:uid="{00000000-0002-0000-0B00-000009000000}"/>
  </dataValidations>
  <pageMargins left="0.7" right="0.7" top="0.75" bottom="0.75" header="0.3" footer="0.3"/>
  <pageSetup paperSize="9" orientation="portrait" horizontalDpi="4294967293" r:id="rId1"/>
  <headerFooter alignWithMargins="0">
    <oddHeader>&amp;C&amp;"Arial,Fett"&amp;16REGENRÜCKHALTEBECKEN</oddHeader>
    <oddFooter>&amp;R&amp;8Seite &amp;P von 2</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4">
    <tabColor rgb="FFFFC000"/>
  </sheetPr>
  <dimension ref="B2:F28"/>
  <sheetViews>
    <sheetView showGridLines="0" zoomScaleNormal="100" workbookViewId="0">
      <selection activeCell="D4" sqref="D4"/>
    </sheetView>
  </sheetViews>
  <sheetFormatPr baseColWidth="10" defaultRowHeight="12.75" x14ac:dyDescent="0.2"/>
  <cols>
    <col min="1" max="1" width="3.140625" style="184" customWidth="1"/>
    <col min="2" max="2" width="15.5703125" style="184" customWidth="1"/>
    <col min="3" max="4" width="21.42578125" style="184" customWidth="1"/>
    <col min="5" max="16384" width="11.42578125" style="184"/>
  </cols>
  <sheetData>
    <row r="2" spans="2:6" x14ac:dyDescent="0.2">
      <c r="B2" s="314" t="s">
        <v>308</v>
      </c>
      <c r="F2" s="185" t="str">
        <f>Einführung!L4</f>
        <v>v01.15</v>
      </c>
    </row>
    <row r="3" spans="2:6" ht="13.5" thickBot="1" x14ac:dyDescent="0.25"/>
    <row r="4" spans="2:6" ht="13.5" thickBot="1" x14ac:dyDescent="0.25">
      <c r="B4" s="1297" t="s">
        <v>274</v>
      </c>
      <c r="C4" s="1298"/>
      <c r="D4" s="287">
        <v>5</v>
      </c>
    </row>
    <row r="5" spans="2:6" x14ac:dyDescent="0.2">
      <c r="B5" s="212"/>
      <c r="C5" s="212"/>
      <c r="D5" s="212"/>
    </row>
    <row r="6" spans="2:6" ht="24.75" customHeight="1" x14ac:dyDescent="0.2">
      <c r="B6" s="1304" t="s">
        <v>293</v>
      </c>
      <c r="C6" s="1304"/>
      <c r="D6" s="1304"/>
      <c r="E6" s="1304"/>
      <c r="F6" s="1304"/>
    </row>
    <row r="7" spans="2:6" ht="13.5" thickBot="1" x14ac:dyDescent="0.25">
      <c r="B7" s="212"/>
      <c r="C7" s="212"/>
      <c r="D7" s="212"/>
    </row>
    <row r="8" spans="2:6" ht="15" customHeight="1" thickBot="1" x14ac:dyDescent="0.25">
      <c r="B8" s="283" t="s">
        <v>275</v>
      </c>
      <c r="C8" s="284" t="s">
        <v>276</v>
      </c>
      <c r="D8" s="285" t="s">
        <v>277</v>
      </c>
    </row>
    <row r="9" spans="2:6" x14ac:dyDescent="0.2">
      <c r="B9" s="307" t="s">
        <v>294</v>
      </c>
      <c r="C9" s="324">
        <v>1.8</v>
      </c>
      <c r="D9" s="310">
        <f>C9*$D$4</f>
        <v>9</v>
      </c>
    </row>
    <row r="10" spans="2:6" x14ac:dyDescent="0.2">
      <c r="B10" s="286" t="s">
        <v>295</v>
      </c>
      <c r="C10" s="330"/>
      <c r="D10" s="321">
        <f t="shared" ref="D10:D20" si="0">C10*$D$4</f>
        <v>0</v>
      </c>
    </row>
    <row r="11" spans="2:6" x14ac:dyDescent="0.2">
      <c r="B11" s="286" t="s">
        <v>296</v>
      </c>
      <c r="C11" s="323">
        <v>4.4999999999999997E-3</v>
      </c>
      <c r="D11" s="308">
        <f t="shared" si="0"/>
        <v>2.2499999999999999E-2</v>
      </c>
    </row>
    <row r="12" spans="2:6" x14ac:dyDescent="0.2">
      <c r="B12" s="286" t="s">
        <v>297</v>
      </c>
      <c r="C12" s="309">
        <v>4.4999999999999998E-2</v>
      </c>
      <c r="D12" s="308">
        <f t="shared" si="0"/>
        <v>0.22499999999999998</v>
      </c>
    </row>
    <row r="13" spans="2:6" x14ac:dyDescent="0.2">
      <c r="B13" s="286" t="s">
        <v>298</v>
      </c>
      <c r="C13" s="309">
        <v>1.7999999999999999E-2</v>
      </c>
      <c r="D13" s="308">
        <f t="shared" si="0"/>
        <v>0.09</v>
      </c>
    </row>
    <row r="14" spans="2:6" x14ac:dyDescent="0.2">
      <c r="B14" s="286" t="s">
        <v>299</v>
      </c>
      <c r="C14" s="309">
        <v>8.9999999999999993E-3</v>
      </c>
      <c r="D14" s="308">
        <f t="shared" si="0"/>
        <v>4.4999999999999998E-2</v>
      </c>
    </row>
    <row r="15" spans="2:6" ht="15.75" x14ac:dyDescent="0.3">
      <c r="B15" s="286" t="s">
        <v>300</v>
      </c>
      <c r="C15" s="309">
        <v>0.3</v>
      </c>
      <c r="D15" s="308">
        <f t="shared" si="0"/>
        <v>1.5</v>
      </c>
    </row>
    <row r="16" spans="2:6" x14ac:dyDescent="0.2">
      <c r="B16" s="286" t="s">
        <v>301</v>
      </c>
      <c r="C16" s="309">
        <v>180</v>
      </c>
      <c r="D16" s="308">
        <f t="shared" si="0"/>
        <v>900</v>
      </c>
    </row>
    <row r="17" spans="2:5" x14ac:dyDescent="0.2">
      <c r="B17" s="286" t="s">
        <v>302</v>
      </c>
      <c r="C17" s="309">
        <v>9.0000000000000006E-5</v>
      </c>
      <c r="D17" s="308">
        <f t="shared" si="0"/>
        <v>4.5000000000000004E-4</v>
      </c>
    </row>
    <row r="18" spans="2:5" x14ac:dyDescent="0.2">
      <c r="B18" s="286" t="s">
        <v>303</v>
      </c>
      <c r="C18" s="309">
        <v>0.1</v>
      </c>
      <c r="D18" s="308">
        <f t="shared" si="0"/>
        <v>0.5</v>
      </c>
    </row>
    <row r="19" spans="2:5" x14ac:dyDescent="0.2">
      <c r="B19" s="286" t="s">
        <v>304</v>
      </c>
      <c r="C19" s="322">
        <v>0.45</v>
      </c>
      <c r="D19" s="308">
        <f t="shared" si="0"/>
        <v>2.25</v>
      </c>
    </row>
    <row r="20" spans="2:5" x14ac:dyDescent="0.2">
      <c r="B20" s="286" t="s">
        <v>278</v>
      </c>
      <c r="C20" s="330"/>
      <c r="D20" s="321">
        <f t="shared" si="0"/>
        <v>0</v>
      </c>
    </row>
    <row r="21" spans="2:5" ht="15.75" x14ac:dyDescent="0.3">
      <c r="B21" s="325" t="s">
        <v>305</v>
      </c>
      <c r="C21" s="326">
        <v>5.0000000000000001E-4</v>
      </c>
      <c r="D21" s="311">
        <f>C21*$D$4</f>
        <v>2.5000000000000001E-3</v>
      </c>
    </row>
    <row r="22" spans="2:5" x14ac:dyDescent="0.2">
      <c r="B22" s="332"/>
      <c r="C22" s="330"/>
      <c r="D22" s="311">
        <f>C22*$D$4</f>
        <v>0</v>
      </c>
    </row>
    <row r="23" spans="2:5" x14ac:dyDescent="0.2">
      <c r="B23" s="332"/>
      <c r="C23" s="330"/>
      <c r="D23" s="311">
        <f>C23*$D$4</f>
        <v>0</v>
      </c>
    </row>
    <row r="24" spans="2:5" ht="13.5" thickBot="1" x14ac:dyDescent="0.25">
      <c r="B24" s="333"/>
      <c r="C24" s="331"/>
      <c r="D24" s="329">
        <f>C24*$D$4</f>
        <v>0</v>
      </c>
    </row>
    <row r="25" spans="2:5" ht="24" customHeight="1" thickBot="1" x14ac:dyDescent="0.25">
      <c r="B25" s="327"/>
      <c r="C25" s="327"/>
      <c r="D25" s="328"/>
      <c r="E25" s="229"/>
    </row>
    <row r="26" spans="2:5" ht="13.5" thickBot="1" x14ac:dyDescent="0.25">
      <c r="B26" s="1301" t="s">
        <v>279</v>
      </c>
      <c r="C26" s="1302"/>
      <c r="D26" s="1303"/>
      <c r="E26" s="229"/>
    </row>
    <row r="27" spans="2:5" ht="13.5" thickBot="1" x14ac:dyDescent="0.25">
      <c r="B27" s="312"/>
      <c r="C27" s="1299" t="s">
        <v>306</v>
      </c>
      <c r="D27" s="1300"/>
    </row>
    <row r="28" spans="2:5" ht="13.5" thickBot="1" x14ac:dyDescent="0.25">
      <c r="B28" s="313"/>
      <c r="C28" s="1299" t="s">
        <v>307</v>
      </c>
      <c r="D28" s="1300"/>
    </row>
  </sheetData>
  <mergeCells count="5">
    <mergeCell ref="B4:C4"/>
    <mergeCell ref="C27:D27"/>
    <mergeCell ref="C28:D28"/>
    <mergeCell ref="B26:D26"/>
    <mergeCell ref="B6:F6"/>
  </mergeCells>
  <phoneticPr fontId="63" type="noConversion"/>
  <pageMargins left="0.7" right="0.7" top="0.78740157499999996" bottom="0.78740157499999996" header="0.3" footer="0.3"/>
  <pageSetup paperSize="9" orientation="portrait" r:id="rId1"/>
  <headerFooter>
    <oddHeader xml:space="preserve">&amp;C&amp;"Arial,Fett"&amp;16BERECHNUNG TAGESFRACHTEN&amp;"Arial,Standard"&amp;10
</oddHeader>
    <oddFooter>&amp;RSeite &amp;P von 1</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7</vt:i4>
      </vt:variant>
    </vt:vector>
  </HeadingPairs>
  <TitlesOfParts>
    <vt:vector size="20" baseType="lpstr">
      <vt:lpstr>SIR</vt:lpstr>
      <vt:lpstr>Bemessungsregendaten, kfu</vt:lpstr>
      <vt:lpstr>SIR-AQF</vt:lpstr>
      <vt:lpstr>ASI</vt:lpstr>
      <vt:lpstr>Einführung</vt:lpstr>
      <vt:lpstr>Begriffe</vt:lpstr>
      <vt:lpstr>Sickermulden-becken</vt:lpstr>
      <vt:lpstr>Sickerschacht_SIR</vt:lpstr>
      <vt:lpstr>Sickerschacht_SIR-AQF</vt:lpstr>
      <vt:lpstr>Sickerschacht_ASI</vt:lpstr>
      <vt:lpstr>unterirdischer Sickerkörper</vt:lpstr>
      <vt:lpstr>Regenrückhaltebecken</vt:lpstr>
      <vt:lpstr>Berechnung Tagesfrachten</vt:lpstr>
      <vt:lpstr>Einführung!Druckbereich</vt:lpstr>
      <vt:lpstr>Regenrückhaltebecken!Druckbereich</vt:lpstr>
      <vt:lpstr>'Sickermulden-becken'!Druckbereich</vt:lpstr>
      <vt:lpstr>Sickerschacht_ASI!Druckbereich</vt:lpstr>
      <vt:lpstr>Sickerschacht_SIR!Druckbereich</vt:lpstr>
      <vt:lpstr>'Sickerschacht_SIR-AQF'!Druckbereich</vt:lpstr>
      <vt:lpstr>'unterirdischer Sickerkörper'!Druckbereich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Birgit (WaWi)</dc:creator>
  <cp:lastModifiedBy>mad</cp:lastModifiedBy>
  <cp:lastPrinted>2015-01-30T18:15:15Z</cp:lastPrinted>
  <dcterms:created xsi:type="dcterms:W3CDTF">2013-09-19T06:37:45Z</dcterms:created>
  <dcterms:modified xsi:type="dcterms:W3CDTF">2018-07-10T18:17:51Z</dcterms:modified>
</cp:coreProperties>
</file>