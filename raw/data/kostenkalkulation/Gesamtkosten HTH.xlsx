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 Thoenen\Documents\Haus Krusdorf\"/>
    </mc:Choice>
  </mc:AlternateContent>
  <xr:revisionPtr revIDLastSave="0" documentId="13_ncr:1_{DC0E6C46-F7A8-4D76-A8C9-336B9F307712}" xr6:coauthVersionLast="45" xr6:coauthVersionMax="45" xr10:uidLastSave="{00000000-0000-0000-0000-000000000000}"/>
  <bookViews>
    <workbookView xWindow="-110" yWindow="-110" windowWidth="17420" windowHeight="14020" firstSheet="1" activeTab="6" xr2:uid="{00000000-000D-0000-FFFF-FFFF00000000}"/>
  </bookViews>
  <sheets>
    <sheet name="Haussanierung 17" sheetId="1" r:id="rId1"/>
    <sheet name="Haussanierung 18..." sheetId="8" r:id="rId2"/>
    <sheet name="Gemeindeabgaben" sheetId="2" r:id="rId3"/>
    <sheet name="Strom " sheetId="3" r:id="rId4"/>
    <sheet name="Öl Heizung" sheetId="7" r:id="rId5"/>
    <sheet name="Diverses" sheetId="5" r:id="rId6"/>
    <sheet name=" A1 &amp; ORF" sheetId="6" r:id="rId7"/>
    <sheet name="Tabelle4" sheetId="4" r:id="rId8"/>
  </sheets>
  <definedNames>
    <definedName name="_xlnm._FilterDatabase" localSheetId="0" hidden="1">'Haussanierung 17'!$A$1:$I$76</definedName>
    <definedName name="_xlnm._FilterDatabase" localSheetId="1" hidden="1">'Haussanierung 18...'!$A$1:$I$4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8" i="6" l="1"/>
  <c r="R37" i="6"/>
  <c r="M36" i="6"/>
  <c r="R36" i="6"/>
  <c r="M35" i="6"/>
  <c r="R35" i="6"/>
  <c r="R34" i="6"/>
  <c r="R33" i="6"/>
  <c r="R32" i="6"/>
  <c r="D31" i="6"/>
  <c r="R31" i="6"/>
  <c r="R30" i="6"/>
  <c r="R29" i="6"/>
  <c r="D28" i="6"/>
  <c r="R28" i="6"/>
  <c r="R27" i="6"/>
  <c r="M23" i="6"/>
  <c r="R23" i="6"/>
  <c r="M20" i="6"/>
  <c r="R20" i="6"/>
  <c r="R19" i="6"/>
  <c r="H13" i="6"/>
  <c r="R6" i="6"/>
  <c r="G4" i="6"/>
  <c r="M4" i="6"/>
  <c r="D3" i="6"/>
  <c r="M7" i="6"/>
  <c r="R7" i="6"/>
  <c r="M5" i="6" l="1"/>
  <c r="R5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26" i="6"/>
  <c r="D4" i="6"/>
  <c r="H35" i="6"/>
  <c r="H38" i="6"/>
  <c r="H32" i="6"/>
  <c r="H31" i="6"/>
  <c r="H34" i="6" l="1"/>
  <c r="G34" i="6"/>
  <c r="G35" i="6"/>
  <c r="D35" i="6" s="1"/>
  <c r="G36" i="6"/>
  <c r="G37" i="6"/>
  <c r="G38" i="6"/>
  <c r="D38" i="6" s="1"/>
  <c r="H33" i="6"/>
  <c r="H30" i="6"/>
  <c r="D30" i="6" s="1"/>
  <c r="H36" i="6"/>
  <c r="H37" i="6"/>
  <c r="G30" i="6"/>
  <c r="G31" i="6"/>
  <c r="G32" i="6"/>
  <c r="D32" i="6" s="1"/>
  <c r="G33" i="6"/>
  <c r="R25" i="6"/>
  <c r="F40" i="5"/>
  <c r="G33" i="5"/>
  <c r="F27" i="5"/>
  <c r="H16" i="5"/>
  <c r="F49" i="5"/>
  <c r="H51" i="5"/>
  <c r="H28" i="5"/>
  <c r="H22" i="5"/>
  <c r="J11" i="5"/>
  <c r="G65" i="5"/>
  <c r="G63" i="5"/>
  <c r="G61" i="5"/>
  <c r="G60" i="5"/>
  <c r="G59" i="5"/>
  <c r="G56" i="5"/>
  <c r="G48" i="5"/>
  <c r="G47" i="5"/>
  <c r="G46" i="5"/>
  <c r="G45" i="5"/>
  <c r="G44" i="5"/>
  <c r="G43" i="5"/>
  <c r="G42" i="5"/>
  <c r="G41" i="5"/>
  <c r="G37" i="5"/>
  <c r="G36" i="5"/>
  <c r="G35" i="5"/>
  <c r="G25" i="5"/>
  <c r="G24" i="5"/>
  <c r="G23" i="5"/>
  <c r="G20" i="5"/>
  <c r="G19" i="5"/>
  <c r="G18" i="5"/>
  <c r="G17" i="5"/>
  <c r="G15" i="5"/>
  <c r="G13" i="5"/>
  <c r="G12" i="5"/>
  <c r="G10" i="5"/>
  <c r="G9" i="5"/>
  <c r="G8" i="5"/>
  <c r="H7" i="5"/>
  <c r="H6" i="5"/>
  <c r="I5" i="5"/>
  <c r="F64" i="5"/>
  <c r="F62" i="5"/>
  <c r="F58" i="5"/>
  <c r="F57" i="5"/>
  <c r="F55" i="5"/>
  <c r="F54" i="5"/>
  <c r="F53" i="5"/>
  <c r="F52" i="5"/>
  <c r="F50" i="5"/>
  <c r="F39" i="5"/>
  <c r="F38" i="5"/>
  <c r="F34" i="5"/>
  <c r="F32" i="5"/>
  <c r="F31" i="5"/>
  <c r="F30" i="5"/>
  <c r="F29" i="5"/>
  <c r="F26" i="5"/>
  <c r="F21" i="5"/>
  <c r="F14" i="5"/>
  <c r="F4" i="5"/>
  <c r="F3" i="5"/>
  <c r="D34" i="6" l="1"/>
  <c r="D33" i="6"/>
  <c r="D36" i="6"/>
  <c r="D37" i="6"/>
  <c r="E61" i="5"/>
  <c r="B17" i="2"/>
  <c r="G16" i="2"/>
  <c r="G17" i="2"/>
  <c r="D16" i="2"/>
  <c r="D17" i="2"/>
  <c r="G15" i="2"/>
  <c r="D15" i="2"/>
  <c r="G13" i="2"/>
  <c r="D14" i="2"/>
  <c r="G14" i="2" s="1"/>
  <c r="D13" i="2"/>
  <c r="B13" i="2"/>
  <c r="B15" i="2"/>
  <c r="B16" i="2"/>
  <c r="B14" i="2" l="1"/>
  <c r="M24" i="6"/>
  <c r="R24" i="6"/>
  <c r="G23" i="6" l="1"/>
  <c r="H23" i="6"/>
  <c r="D23" i="6" l="1"/>
  <c r="J23" i="6"/>
  <c r="D12" i="2"/>
  <c r="B12" i="2" s="1"/>
  <c r="B7" i="2"/>
  <c r="B8" i="2"/>
  <c r="R21" i="6" l="1"/>
  <c r="D11" i="2" l="1"/>
  <c r="B11" i="2" s="1"/>
  <c r="R18" i="6" l="1"/>
  <c r="D10" i="2" l="1"/>
  <c r="B10" i="2" s="1"/>
  <c r="R17" i="6" l="1"/>
  <c r="R16" i="6"/>
  <c r="R14" i="6" l="1"/>
  <c r="M14" i="6"/>
  <c r="G13" i="6"/>
  <c r="E27" i="5" l="1"/>
  <c r="R13" i="6" l="1"/>
  <c r="D13" i="6"/>
  <c r="D9" i="2" l="1"/>
  <c r="B9" i="2" s="1"/>
  <c r="E84" i="1" l="1"/>
  <c r="R12" i="6" l="1"/>
  <c r="E81" i="1" l="1"/>
  <c r="E80" i="1"/>
  <c r="E23" i="5"/>
  <c r="H76" i="1"/>
  <c r="G24" i="1"/>
  <c r="G16" i="1"/>
  <c r="G45" i="1"/>
  <c r="G44" i="1"/>
  <c r="E76" i="1" l="1"/>
  <c r="E78" i="1" s="1"/>
  <c r="R11" i="6"/>
  <c r="H11" i="6" s="1"/>
  <c r="M11" i="6"/>
  <c r="G11" i="6" s="1"/>
  <c r="D11" i="6" s="1"/>
  <c r="R9" i="6"/>
  <c r="H9" i="6" s="1"/>
  <c r="M9" i="6"/>
  <c r="L9" i="6"/>
  <c r="G10" i="6"/>
  <c r="D10" i="6" s="1"/>
  <c r="D6" i="2"/>
  <c r="B6" i="2" s="1"/>
  <c r="R8" i="6"/>
  <c r="H8" i="6" s="1"/>
  <c r="E5" i="2"/>
  <c r="D5" i="2"/>
  <c r="H7" i="6"/>
  <c r="H10" i="6"/>
  <c r="H12" i="6"/>
  <c r="H14" i="6"/>
  <c r="H15" i="6"/>
  <c r="H16" i="6"/>
  <c r="H17" i="6"/>
  <c r="H18" i="6"/>
  <c r="H19" i="6"/>
  <c r="H20" i="6"/>
  <c r="H21" i="6"/>
  <c r="H22" i="6"/>
  <c r="H24" i="6"/>
  <c r="H25" i="6"/>
  <c r="H27" i="6"/>
  <c r="H28" i="6"/>
  <c r="H29" i="6"/>
  <c r="D29" i="6" s="1"/>
  <c r="H5" i="6"/>
  <c r="G6" i="6"/>
  <c r="G7" i="6"/>
  <c r="G8" i="6"/>
  <c r="G12" i="6"/>
  <c r="G14" i="6"/>
  <c r="G15" i="6"/>
  <c r="G16" i="6"/>
  <c r="G17" i="6"/>
  <c r="G18" i="6"/>
  <c r="G19" i="6"/>
  <c r="G20" i="6"/>
  <c r="G21" i="6"/>
  <c r="G22" i="6"/>
  <c r="G24" i="6"/>
  <c r="G25" i="6"/>
  <c r="G27" i="6"/>
  <c r="G28" i="6"/>
  <c r="G29" i="6"/>
  <c r="H6" i="6"/>
  <c r="D6" i="6" s="1"/>
  <c r="D22" i="6" l="1"/>
  <c r="D18" i="6"/>
  <c r="D14" i="6"/>
  <c r="D27" i="6"/>
  <c r="D21" i="6"/>
  <c r="D17" i="6"/>
  <c r="D12" i="6"/>
  <c r="D25" i="6"/>
  <c r="D20" i="6"/>
  <c r="D16" i="6"/>
  <c r="D24" i="6"/>
  <c r="D19" i="6"/>
  <c r="D15" i="6"/>
  <c r="D7" i="6"/>
  <c r="D8" i="6"/>
  <c r="B5" i="2"/>
  <c r="G9" i="6"/>
  <c r="D9" i="6" s="1"/>
  <c r="G5" i="6"/>
  <c r="D5" i="6" s="1"/>
  <c r="F4" i="2"/>
  <c r="D3" i="2"/>
  <c r="E82" i="1"/>
</calcChain>
</file>

<file path=xl/sharedStrings.xml><?xml version="1.0" encoding="utf-8"?>
<sst xmlns="http://schemas.openxmlformats.org/spreadsheetml/2006/main" count="432" uniqueCount="219">
  <si>
    <t>Rechnungs-Datum</t>
  </si>
  <si>
    <t>Massnahme / Einkauf</t>
  </si>
  <si>
    <t>Bezahl -Datum</t>
  </si>
  <si>
    <t>Betrag</t>
  </si>
  <si>
    <t>Umzug</t>
  </si>
  <si>
    <t>Firma</t>
  </si>
  <si>
    <t>Spezialservie GmbH, Leibnitz</t>
  </si>
  <si>
    <t>Schuttmulde inkl. Deponie</t>
  </si>
  <si>
    <t>Saubermacher</t>
  </si>
  <si>
    <t>Mängelbehebung EL-Installation, E-Attest, TV-Anlage einmessen, Einbau Überspannungsableiter, Tausch Schalter-Steckdosenprogramm</t>
  </si>
  <si>
    <t>TRS E-Technik, Graz</t>
  </si>
  <si>
    <t>Austausch Heizungsregelungsanlage</t>
  </si>
  <si>
    <t>TFHaustec, Graz</t>
  </si>
  <si>
    <t>Einkäufe durch Claudia</t>
  </si>
  <si>
    <t>room No9</t>
  </si>
  <si>
    <t>Infrarotheizkörper 600W, Möbelgriffe, Farbe, Türblatt, Zargen, Hornbach Material div, und Boden</t>
  </si>
  <si>
    <t>Waschmaschine und Trockner inkl. Lieferung</t>
  </si>
  <si>
    <t>Roth GmbH, Gleisdorf</t>
  </si>
  <si>
    <t>Wasser</t>
  </si>
  <si>
    <t>Abfall / Kanal</t>
  </si>
  <si>
    <t>Meldebest.</t>
  </si>
  <si>
    <t>Periode</t>
  </si>
  <si>
    <t>Steuern / Abgaben</t>
  </si>
  <si>
    <t>Bonus / Gutschriften</t>
  </si>
  <si>
    <t>25.10. - 6.2.17</t>
  </si>
  <si>
    <t>MwSt</t>
  </si>
  <si>
    <t>Total</t>
  </si>
  <si>
    <t>Garderobe</t>
  </si>
  <si>
    <t>Universal</t>
  </si>
  <si>
    <t>Kehrgebührpauschale</t>
  </si>
  <si>
    <t>Kaminfeger Kagerbauer</t>
  </si>
  <si>
    <t>Bezahl-Datum</t>
  </si>
  <si>
    <t>A1 RST</t>
  </si>
  <si>
    <t>A1 HTH</t>
  </si>
  <si>
    <t>ORF</t>
  </si>
  <si>
    <t>Net Cube</t>
  </si>
  <si>
    <t>RST</t>
  </si>
  <si>
    <t>Monatl Gutschrift</t>
  </si>
  <si>
    <t>Verbindungs-kosten</t>
  </si>
  <si>
    <t>Aktivierungs-Kosten</t>
  </si>
  <si>
    <t>HTH</t>
  </si>
  <si>
    <t>Monatl. Gutschrift</t>
  </si>
  <si>
    <t>28.1.17 - 27.2.17</t>
  </si>
  <si>
    <t>Briefkasten + Dunggabel</t>
  </si>
  <si>
    <t>OBI</t>
  </si>
  <si>
    <t>SONOS Play 1 &amp; Play 5</t>
  </si>
  <si>
    <t>Elektro Ramert, Feldbach</t>
  </si>
  <si>
    <t>NVA</t>
  </si>
  <si>
    <t>Finanzamt Oststeiermark</t>
  </si>
  <si>
    <t>Deckenleuchten &amp; LED Strahler</t>
  </si>
  <si>
    <t>XXX Lutz</t>
  </si>
  <si>
    <t>Badezimmer Möbel</t>
  </si>
  <si>
    <t>SONOS Connect</t>
  </si>
  <si>
    <t>Heizöl</t>
  </si>
  <si>
    <t>Menge</t>
  </si>
  <si>
    <t>Preis/Liter</t>
  </si>
  <si>
    <t>Datum</t>
  </si>
  <si>
    <t>28.11.16 - 27.12.16</t>
  </si>
  <si>
    <t>282.12.16 -27.1.17</t>
  </si>
  <si>
    <t>Rasenmäher &amp; Ladegerät</t>
  </si>
  <si>
    <t>Tropper, Kronnersdorf</t>
  </si>
  <si>
    <t>Netz-entgelt</t>
  </si>
  <si>
    <t>Energie-entgelt</t>
  </si>
  <si>
    <t>Strom</t>
  </si>
  <si>
    <t>Heizung</t>
  </si>
  <si>
    <t>Hochbeet</t>
  </si>
  <si>
    <t>Hagebau, Feldbach</t>
  </si>
  <si>
    <t>TESA Poweerband</t>
  </si>
  <si>
    <t>Dr. Millner/Schamesberger</t>
  </si>
  <si>
    <t>Rechtsarbeiten</t>
  </si>
  <si>
    <t>Grundsteuer</t>
  </si>
  <si>
    <t>Rasentrimmer</t>
  </si>
  <si>
    <t>Ersatz &amp; Montage Säule</t>
  </si>
  <si>
    <t>Holzbauprofi, Poppendorf</t>
  </si>
  <si>
    <t>28.4.17 - 27.5.17</t>
  </si>
  <si>
    <t>Grundwasserpumpe mit Zapfeinrichtung installieren</t>
  </si>
  <si>
    <t>Krobath, Feldbach</t>
  </si>
  <si>
    <t>G. Polz, Leibnitz</t>
  </si>
  <si>
    <t>Audiokonveerter &amp; Playbar</t>
  </si>
  <si>
    <t>TV Inspektion Dachwasserabfluss Ost</t>
  </si>
  <si>
    <t>M. Schischek, Halbenrain</t>
  </si>
  <si>
    <t>Holz für Gartenhütte, Teichsaugen</t>
  </si>
  <si>
    <t>Material, Wein, Montage Rebanlage</t>
  </si>
  <si>
    <t>28.6.17 - 27.7.17</t>
  </si>
  <si>
    <t>Div. Materialien, Kleingeräte abzügl. Gutschrift Betonrohre</t>
  </si>
  <si>
    <t>Landkauf Bund, Wieden</t>
  </si>
  <si>
    <t>Material für Fundament Gartenhütte</t>
  </si>
  <si>
    <t>28.5.17 - 27.6.17</t>
  </si>
  <si>
    <t>Div. Material für Garten, Zeitung etc</t>
  </si>
  <si>
    <t>28.7.17 - 27.8.17</t>
  </si>
  <si>
    <t>Dichtzaun und Kaminholzdach</t>
  </si>
  <si>
    <t>Regenwassersanierung Dachrinne Ost, 3 Lichtschächte</t>
  </si>
  <si>
    <t>Puchleitner, Feldbach</t>
  </si>
  <si>
    <t>div. Gartenmaterial</t>
  </si>
  <si>
    <t>Roth, Gnas</t>
  </si>
  <si>
    <t>Gartenhütte</t>
  </si>
  <si>
    <t>Steiner Shopping, Hürm</t>
  </si>
  <si>
    <t>Konto Easy</t>
  </si>
  <si>
    <t>Barbezug</t>
  </si>
  <si>
    <t>UH</t>
  </si>
  <si>
    <t>Uhrzeit</t>
  </si>
  <si>
    <t>Bareinkäufe</t>
  </si>
  <si>
    <t>Hornbach</t>
  </si>
  <si>
    <t>Fussboden</t>
  </si>
  <si>
    <t>TFHaustec GmbH</t>
  </si>
  <si>
    <t>Hypo Stm</t>
  </si>
  <si>
    <t>Infrarotstrahler</t>
  </si>
  <si>
    <t>Heatness</t>
  </si>
  <si>
    <t>Reparatur Heizungsanlage; Installationsmaterial Badezimmer; Solarregelung ersetzen u. Montage</t>
  </si>
  <si>
    <t>Anzahlung Kühlschrank</t>
  </si>
  <si>
    <t>Quelle</t>
  </si>
  <si>
    <t>Versandkosten Kühlschrank</t>
  </si>
  <si>
    <t>Kühlschrank</t>
  </si>
  <si>
    <t>Bareinkäufe mit Karte bezahlt</t>
  </si>
  <si>
    <t>Bareinkäufe vom 2.2./15.2/24.2. 17</t>
  </si>
  <si>
    <t>Einkäufe mit Rechnungen</t>
  </si>
  <si>
    <t>für die Polen und ????</t>
  </si>
  <si>
    <t>Barbezug UH</t>
  </si>
  <si>
    <t>28.8.17 - 27.9.17</t>
  </si>
  <si>
    <t>Einkauf durch Claudia</t>
  </si>
  <si>
    <t>Schagerl (durch CW)</t>
  </si>
  <si>
    <t>28.9.17 - 27.10.17</t>
  </si>
  <si>
    <t>Schneeschaufel, Besen, Streusalz</t>
  </si>
  <si>
    <t>Bun d Landkauf Wieden</t>
  </si>
  <si>
    <t>Heckenschneiden</t>
  </si>
  <si>
    <t>28.10.17 -27.11.17</t>
  </si>
  <si>
    <t>Mobil-Service-pauschale</t>
  </si>
  <si>
    <t>7.2.17 - 5.2.18</t>
  </si>
  <si>
    <t>28.12.17 - 27.1.18</t>
  </si>
  <si>
    <t>Brausegarnitur Bad oben</t>
  </si>
  <si>
    <t>Roth Gnas</t>
  </si>
  <si>
    <t>Sanitärsilikon</t>
  </si>
  <si>
    <t xml:space="preserve">Heatness </t>
  </si>
  <si>
    <t xml:space="preserve"> VCIR-800</t>
  </si>
  <si>
    <t>28.1.18 - 27.2.18</t>
  </si>
  <si>
    <t>Hagebau Feldbach</t>
  </si>
  <si>
    <t xml:space="preserve">Häcksler AL-KO </t>
  </si>
  <si>
    <t>28.2.18 - 27.3.18</t>
  </si>
  <si>
    <t>SONOS Playbar</t>
  </si>
  <si>
    <t>Ramert Feldbach</t>
  </si>
  <si>
    <t>Heizungsservice</t>
  </si>
  <si>
    <t>Holzpfosten Lärche, Terasse</t>
  </si>
  <si>
    <t>Franz Ritz Straden</t>
  </si>
  <si>
    <t>Schuster Transporte</t>
  </si>
  <si>
    <t>Holztransport</t>
  </si>
  <si>
    <t>28.3.18 - 27.4.17</t>
  </si>
  <si>
    <t xml:space="preserve">Kagerbauer </t>
  </si>
  <si>
    <t>Kaminreinigung Q1 2018</t>
  </si>
  <si>
    <t>Kaminreinigung Q2 2019</t>
  </si>
  <si>
    <t>25.5.18 - 27.6.18</t>
  </si>
  <si>
    <t>28.7.18 - 27.8.18</t>
  </si>
  <si>
    <t>TF Haustec</t>
  </si>
  <si>
    <t>Warmwassereinstellungen</t>
  </si>
  <si>
    <t>Stranzl, St. Margarethen</t>
  </si>
  <si>
    <t>Öl</t>
  </si>
  <si>
    <t>Pauschale Servicevertrag</t>
  </si>
  <si>
    <t>6.2.18 - 4.2.19</t>
  </si>
  <si>
    <t>Trocknungen</t>
  </si>
  <si>
    <t>Wasserpumpe entlüften, Instruktion</t>
  </si>
  <si>
    <t>KrobTH, Straden</t>
  </si>
  <si>
    <t>Notstromaggregat prüfen</t>
  </si>
  <si>
    <t>Elektroinstallation Garagetor</t>
  </si>
  <si>
    <t>G. Polz</t>
  </si>
  <si>
    <t>Klemmfixplissee für Fenster Bad, Teich- u Gästezimmer</t>
  </si>
  <si>
    <t>Teichreinigung</t>
  </si>
  <si>
    <t>Heckenschneiden etc</t>
  </si>
  <si>
    <t>Pondova 5 plus Ergänzungsmat.</t>
  </si>
  <si>
    <t>Gartenmaterial</t>
  </si>
  <si>
    <t>Ring-Set Kärcher</t>
  </si>
  <si>
    <t>ersatzteile</t>
  </si>
  <si>
    <t>KaminreinigungQ3 Q4 19</t>
  </si>
  <si>
    <t>Kaminreinigung Q1 Q2 19</t>
  </si>
  <si>
    <t>Malermaterial (Pinsel, Abflusssieb)</t>
  </si>
  <si>
    <t>Grefzangen</t>
  </si>
  <si>
    <t>Kaiser+Kraft</t>
  </si>
  <si>
    <t>Siebrahmen, Sieb, Grasschere, Pickel</t>
  </si>
  <si>
    <t>40kg Beton, 2Fliesenschwämme</t>
  </si>
  <si>
    <t>Bund Wieden</t>
  </si>
  <si>
    <t>Flusskiesel</t>
  </si>
  <si>
    <t>Kiesel, Spannschlösser, Gesteinmehl, Samen</t>
  </si>
  <si>
    <t>Material für Wasserleitungen im Garten</t>
  </si>
  <si>
    <t>Flusskiesel, Sand, Splitt, Fugensand</t>
  </si>
  <si>
    <t>Flusskiesel, Marmorsplit, Samen, Blumenerde</t>
  </si>
  <si>
    <t>Div. Kleber</t>
  </si>
  <si>
    <t>Muffenkupplung</t>
  </si>
  <si>
    <t>Sand, Drainageschläche, Hochwassersäcke, Estrichsand</t>
  </si>
  <si>
    <t>Garagetor</t>
  </si>
  <si>
    <t>Abo Kleine Zeitung</t>
  </si>
  <si>
    <t>Kleine Zeitung</t>
  </si>
  <si>
    <t>Luftentfeuchter, Fishermens friends</t>
  </si>
  <si>
    <t xml:space="preserve">Riesel Split </t>
  </si>
  <si>
    <t>Unterhalt Haus</t>
  </si>
  <si>
    <t>Garten</t>
  </si>
  <si>
    <t>Auto</t>
  </si>
  <si>
    <t>Unter-haltung</t>
  </si>
  <si>
    <t>Diverses</t>
  </si>
  <si>
    <t>28.8.18 - 27.9.18</t>
  </si>
  <si>
    <t>28.11.18 - 27.12.18</t>
  </si>
  <si>
    <t>28.12.18 - 27.1.19</t>
  </si>
  <si>
    <t>28.1.19 - 27.2. 19</t>
  </si>
  <si>
    <t>28.2.19 - 27.3. 19</t>
  </si>
  <si>
    <t>28.3.19 - 27.4. 19</t>
  </si>
  <si>
    <t>28.4.19 - 27.5. 19</t>
  </si>
  <si>
    <t>28.5.19 - 27.6. 19</t>
  </si>
  <si>
    <t>28.6.19 - 27.7. 19</t>
  </si>
  <si>
    <t>28.7.19 - 27.8. 19</t>
  </si>
  <si>
    <t>28.8.19 - 27.9. 19</t>
  </si>
  <si>
    <t>28.9.19 - 27.10. 19</t>
  </si>
  <si>
    <t>28.10.19 - 27.11. 19</t>
  </si>
  <si>
    <t>28.11.19 - 27.12. 19</t>
  </si>
  <si>
    <t>28.12.19 - 27.1. 20</t>
  </si>
  <si>
    <t>Zahlungen an A1 &amp; Drittan-bietern</t>
  </si>
  <si>
    <t>28.2.17 - 27.3.17</t>
  </si>
  <si>
    <t>28.3.17 -27.4.17</t>
  </si>
  <si>
    <t>28.11.17 - 27.12.18</t>
  </si>
  <si>
    <t>28.4.18 - 27.5.18</t>
  </si>
  <si>
    <t>28.6.18 - 27.7.18</t>
  </si>
  <si>
    <t>28.9.18 - 27.10.19</t>
  </si>
  <si>
    <t>28.10.18 - 27.10.18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</si>
</sst>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2" fontId="0" fillId="0" borderId="0" xfId="0" applyNumberFormat="1"/>
    <xf numFmtId="14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4" fontId="0" fillId="0" borderId="0" xfId="0" applyNumberFormat="1"/>
    <xf numFmtId="4" fontId="0" fillId="0" borderId="0" xfId="0" applyNumberFormat="1" applyAlignment="1">
      <alignment vertical="center"/>
    </xf>
    <xf numFmtId="4" fontId="0" fillId="0" borderId="0" xfId="0" applyNumberFormat="1" applyAlignment="1">
      <alignment wrapText="1"/>
    </xf>
    <xf numFmtId="0" fontId="0" fillId="0" borderId="0" xfId="0" applyFont="1" applyAlignment="1">
      <alignment wrapText="1"/>
    </xf>
    <xf numFmtId="14" fontId="0" fillId="0" borderId="0" xfId="0" applyNumberFormat="1" applyFont="1" applyAlignment="1">
      <alignment wrapText="1"/>
    </xf>
    <xf numFmtId="4" fontId="0" fillId="0" borderId="0" xfId="0" applyNumberFormat="1" applyFont="1" applyAlignment="1">
      <alignment wrapText="1"/>
    </xf>
    <xf numFmtId="0" fontId="0" fillId="0" borderId="0" xfId="0" applyFont="1" applyAlignment="1">
      <alignment vertical="center"/>
    </xf>
    <xf numFmtId="4" fontId="1" fillId="0" borderId="0" xfId="0" applyNumberFormat="1" applyFont="1" applyAlignment="1">
      <alignment wrapText="1"/>
    </xf>
    <xf numFmtId="4" fontId="0" fillId="0" borderId="0" xfId="0" applyNumberFormat="1" applyAlignment="1">
      <alignment vertical="center" wrapText="1"/>
    </xf>
    <xf numFmtId="14" fontId="0" fillId="0" borderId="0" xfId="0" applyNumberFormat="1" applyFont="1" applyAlignment="1">
      <alignment vertical="center"/>
    </xf>
    <xf numFmtId="4" fontId="0" fillId="0" borderId="0" xfId="0" applyNumberFormat="1" applyFont="1" applyAlignment="1">
      <alignment vertical="center"/>
    </xf>
    <xf numFmtId="20" fontId="0" fillId="0" borderId="0" xfId="0" applyNumberFormat="1" applyFont="1" applyAlignment="1">
      <alignment vertical="center"/>
    </xf>
    <xf numFmtId="14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2" fontId="0" fillId="0" borderId="0" xfId="0" applyNumberFormat="1" applyAlignment="1">
      <alignment wrapText="1"/>
    </xf>
    <xf numFmtId="2" fontId="0" fillId="0" borderId="0" xfId="0" applyNumberFormat="1" applyAlignment="1">
      <alignment horizontal="center" wrapText="1"/>
    </xf>
    <xf numFmtId="164" fontId="0" fillId="0" borderId="0" xfId="0" applyNumberFormat="1" applyAlignment="1">
      <alignment vertical="center" wrapText="1"/>
    </xf>
    <xf numFmtId="0" fontId="0" fillId="0" borderId="0" xfId="0" applyBorder="1" applyAlignment="1">
      <alignment vertical="center" wrapText="1"/>
    </xf>
    <xf numFmtId="4" fontId="0" fillId="0" borderId="0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vertical="center"/>
    </xf>
    <xf numFmtId="3" fontId="0" fillId="0" borderId="0" xfId="0" applyNumberFormat="1" applyBorder="1" applyAlignment="1">
      <alignment vertical="center" wrapText="1"/>
    </xf>
    <xf numFmtId="14" fontId="0" fillId="0" borderId="2" xfId="0" applyNumberFormat="1" applyBorder="1"/>
    <xf numFmtId="0" fontId="0" fillId="0" borderId="2" xfId="0" applyBorder="1" applyAlignment="1">
      <alignment vertical="center"/>
    </xf>
    <xf numFmtId="2" fontId="0" fillId="0" borderId="2" xfId="0" applyNumberFormat="1" applyBorder="1"/>
    <xf numFmtId="0" fontId="0" fillId="0" borderId="2" xfId="0" applyBorder="1"/>
    <xf numFmtId="14" fontId="0" fillId="0" borderId="0" xfId="0" applyNumberFormat="1" applyBorder="1"/>
    <xf numFmtId="2" fontId="0" fillId="0" borderId="0" xfId="0" applyNumberFormat="1" applyBorder="1"/>
    <xf numFmtId="0" fontId="0" fillId="0" borderId="0" xfId="0" applyBorder="1"/>
    <xf numFmtId="0" fontId="0" fillId="0" borderId="0" xfId="0" applyFill="1"/>
    <xf numFmtId="2" fontId="0" fillId="0" borderId="0" xfId="0" applyNumberFormat="1" applyFill="1"/>
    <xf numFmtId="2" fontId="0" fillId="0" borderId="0" xfId="0" applyNumberFormat="1" applyFill="1" applyAlignment="1">
      <alignment wrapText="1"/>
    </xf>
    <xf numFmtId="14" fontId="0" fillId="0" borderId="0" xfId="0" applyNumberFormat="1" applyFill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topLeftCell="B1" zoomScale="80" zoomScaleNormal="80" workbookViewId="0">
      <pane ySplit="1" topLeftCell="A71" activePane="bottomLeft" state="frozen"/>
      <selection pane="bottomLeft" activeCell="B92" sqref="B92"/>
    </sheetView>
  </sheetViews>
  <sheetFormatPr baseColWidth="10" defaultRowHeight="14.5" x14ac:dyDescent="0.35"/>
  <cols>
    <col min="3" max="3" width="53.7265625" customWidth="1"/>
    <col min="4" max="4" width="32.7265625" customWidth="1"/>
    <col min="5" max="5" width="10.90625" style="10"/>
    <col min="6" max="6" width="45.81640625" style="10" customWidth="1"/>
    <col min="7" max="7" width="10.1796875" style="10" bestFit="1" customWidth="1"/>
    <col min="8" max="8" width="9.81640625" style="10" bestFit="1" customWidth="1"/>
    <col min="9" max="9" width="6.90625" bestFit="1" customWidth="1"/>
  </cols>
  <sheetData>
    <row r="1" spans="1:9" s="4" customFormat="1" ht="29" x14ac:dyDescent="0.35">
      <c r="A1" s="9" t="s">
        <v>0</v>
      </c>
      <c r="B1" s="9" t="s">
        <v>2</v>
      </c>
      <c r="C1" s="9" t="s">
        <v>1</v>
      </c>
      <c r="D1" s="9" t="s">
        <v>5</v>
      </c>
      <c r="E1" s="17" t="s">
        <v>3</v>
      </c>
      <c r="F1" s="17"/>
      <c r="G1" s="12" t="s">
        <v>97</v>
      </c>
      <c r="H1" s="12" t="s">
        <v>105</v>
      </c>
      <c r="I1" s="4" t="s">
        <v>100</v>
      </c>
    </row>
    <row r="2" spans="1:9" s="16" customFormat="1" x14ac:dyDescent="0.35">
      <c r="B2" s="19">
        <v>42704</v>
      </c>
      <c r="C2" s="16" t="s">
        <v>98</v>
      </c>
      <c r="D2" s="16" t="s">
        <v>99</v>
      </c>
      <c r="E2" s="20">
        <v>400</v>
      </c>
      <c r="F2" s="20"/>
      <c r="G2" s="20">
        <v>400</v>
      </c>
      <c r="H2" s="20"/>
      <c r="I2" s="21">
        <v>0.5444444444444444</v>
      </c>
    </row>
    <row r="3" spans="1:9" s="16" customFormat="1" x14ac:dyDescent="0.35">
      <c r="B3" s="19">
        <v>42705</v>
      </c>
      <c r="C3" s="16" t="s">
        <v>98</v>
      </c>
      <c r="D3" s="16" t="s">
        <v>99</v>
      </c>
      <c r="E3" s="20">
        <v>400</v>
      </c>
      <c r="F3" s="20"/>
      <c r="G3" s="20">
        <v>400</v>
      </c>
      <c r="H3" s="20"/>
      <c r="I3" s="21">
        <v>0.84444444444444444</v>
      </c>
    </row>
    <row r="4" spans="1:9" s="16" customFormat="1" x14ac:dyDescent="0.35">
      <c r="B4" s="19">
        <v>42706</v>
      </c>
      <c r="C4" s="16" t="s">
        <v>98</v>
      </c>
      <c r="D4" s="16" t="s">
        <v>99</v>
      </c>
      <c r="E4" s="20">
        <v>400</v>
      </c>
      <c r="F4" s="20"/>
      <c r="G4" s="20">
        <v>400</v>
      </c>
      <c r="H4" s="20"/>
      <c r="I4" s="21">
        <v>0.50138888888888888</v>
      </c>
    </row>
    <row r="5" spans="1:9" s="16" customFormat="1" x14ac:dyDescent="0.35">
      <c r="B5" s="19">
        <v>43072</v>
      </c>
      <c r="C5" s="16" t="s">
        <v>98</v>
      </c>
      <c r="D5" s="16" t="s">
        <v>99</v>
      </c>
      <c r="E5" s="20">
        <v>400</v>
      </c>
      <c r="F5" s="20"/>
      <c r="G5" s="20">
        <v>400</v>
      </c>
      <c r="H5" s="20"/>
      <c r="I5" s="21">
        <v>0.36805555555555558</v>
      </c>
    </row>
    <row r="6" spans="1:9" s="16" customFormat="1" x14ac:dyDescent="0.35">
      <c r="B6" s="19">
        <v>42709</v>
      </c>
      <c r="C6" s="16" t="s">
        <v>98</v>
      </c>
      <c r="D6" s="16" t="s">
        <v>99</v>
      </c>
      <c r="E6" s="20">
        <v>400</v>
      </c>
      <c r="F6" s="20"/>
      <c r="G6" s="20">
        <v>400</v>
      </c>
      <c r="H6" s="20"/>
      <c r="I6" s="21">
        <v>0.47500000000000003</v>
      </c>
    </row>
    <row r="7" spans="1:9" s="16" customFormat="1" x14ac:dyDescent="0.35">
      <c r="B7" s="19">
        <v>42710</v>
      </c>
      <c r="C7" s="16" t="s">
        <v>98</v>
      </c>
      <c r="D7" s="16" t="s">
        <v>99</v>
      </c>
      <c r="E7" s="20">
        <v>400</v>
      </c>
      <c r="F7" s="20"/>
      <c r="G7" s="20">
        <v>400</v>
      </c>
      <c r="H7" s="20"/>
      <c r="I7" s="21">
        <v>0.47152777777777777</v>
      </c>
    </row>
    <row r="8" spans="1:9" s="16" customFormat="1" x14ac:dyDescent="0.35">
      <c r="B8" s="19">
        <v>42717</v>
      </c>
      <c r="C8" s="16" t="s">
        <v>98</v>
      </c>
      <c r="D8" s="16" t="s">
        <v>99</v>
      </c>
      <c r="E8" s="20">
        <v>1000</v>
      </c>
      <c r="F8" s="20"/>
      <c r="G8" s="20">
        <v>1000</v>
      </c>
      <c r="H8" s="20"/>
      <c r="I8" s="21">
        <v>0.47916666666666669</v>
      </c>
    </row>
    <row r="9" spans="1:9" s="16" customFormat="1" x14ac:dyDescent="0.35">
      <c r="B9" s="19">
        <v>42718</v>
      </c>
      <c r="C9" s="16" t="s">
        <v>98</v>
      </c>
      <c r="D9" s="16" t="s">
        <v>99</v>
      </c>
      <c r="E9" s="20">
        <v>400</v>
      </c>
      <c r="F9" s="20"/>
      <c r="G9" s="20">
        <v>400</v>
      </c>
      <c r="H9" s="20"/>
      <c r="I9" s="21">
        <v>0.43333333333333335</v>
      </c>
    </row>
    <row r="10" spans="1:9" s="16" customFormat="1" x14ac:dyDescent="0.35">
      <c r="B10" s="19">
        <v>43084</v>
      </c>
      <c r="C10" s="16" t="s">
        <v>101</v>
      </c>
      <c r="D10" s="16" t="s">
        <v>102</v>
      </c>
      <c r="E10" s="20">
        <v>415.93</v>
      </c>
      <c r="F10" s="20"/>
      <c r="G10" s="20">
        <v>415.93</v>
      </c>
      <c r="H10" s="20"/>
    </row>
    <row r="11" spans="1:9" s="16" customFormat="1" x14ac:dyDescent="0.35">
      <c r="B11" s="19">
        <v>42723</v>
      </c>
      <c r="C11" s="16" t="s">
        <v>98</v>
      </c>
      <c r="D11" s="16" t="s">
        <v>99</v>
      </c>
      <c r="E11" s="20">
        <v>1000</v>
      </c>
      <c r="F11" s="20"/>
      <c r="G11" s="20">
        <v>1000</v>
      </c>
      <c r="H11" s="20"/>
      <c r="I11" s="21">
        <v>0.54305555555555551</v>
      </c>
    </row>
    <row r="12" spans="1:9" s="16" customFormat="1" x14ac:dyDescent="0.35">
      <c r="B12" s="19">
        <v>42724</v>
      </c>
      <c r="C12" s="16" t="s">
        <v>98</v>
      </c>
      <c r="D12" s="16" t="s">
        <v>99</v>
      </c>
      <c r="E12" s="20">
        <v>1000</v>
      </c>
      <c r="F12" s="20"/>
      <c r="G12" s="20">
        <v>1000</v>
      </c>
      <c r="H12" s="20"/>
      <c r="I12" s="21">
        <v>0.37361111111111112</v>
      </c>
    </row>
    <row r="13" spans="1:9" s="16" customFormat="1" x14ac:dyDescent="0.35">
      <c r="B13" s="19">
        <v>42725</v>
      </c>
      <c r="C13" s="16" t="s">
        <v>98</v>
      </c>
      <c r="D13" s="16" t="s">
        <v>99</v>
      </c>
      <c r="E13" s="20">
        <v>1000</v>
      </c>
      <c r="F13" s="20"/>
      <c r="G13" s="20">
        <v>1000</v>
      </c>
      <c r="H13" s="20"/>
      <c r="I13" s="21">
        <v>0.36249999999999999</v>
      </c>
    </row>
    <row r="14" spans="1:9" s="16" customFormat="1" x14ac:dyDescent="0.35">
      <c r="B14" s="19">
        <v>42731</v>
      </c>
      <c r="C14" s="16" t="s">
        <v>98</v>
      </c>
      <c r="D14" s="16" t="s">
        <v>99</v>
      </c>
      <c r="E14" s="20">
        <v>1000</v>
      </c>
      <c r="F14" s="20"/>
      <c r="G14" s="20">
        <v>1000</v>
      </c>
      <c r="H14" s="20"/>
      <c r="I14" s="21">
        <v>0.4513888888888889</v>
      </c>
    </row>
    <row r="15" spans="1:9" s="16" customFormat="1" x14ac:dyDescent="0.35">
      <c r="B15" s="19">
        <v>42737</v>
      </c>
      <c r="C15" s="16" t="s">
        <v>98</v>
      </c>
      <c r="D15" s="16" t="s">
        <v>99</v>
      </c>
      <c r="E15" s="20">
        <v>1000</v>
      </c>
      <c r="F15" s="20"/>
      <c r="G15" s="20">
        <v>1000</v>
      </c>
      <c r="H15" s="20"/>
      <c r="I15" s="21">
        <v>0.3888888888888889</v>
      </c>
    </row>
    <row r="16" spans="1:9" s="16" customFormat="1" x14ac:dyDescent="0.35">
      <c r="A16" s="13"/>
      <c r="B16" s="14">
        <v>42738</v>
      </c>
      <c r="C16" s="13" t="s">
        <v>103</v>
      </c>
      <c r="D16" s="13" t="s">
        <v>120</v>
      </c>
      <c r="E16" s="15">
        <v>2286.36</v>
      </c>
      <c r="F16" s="15"/>
      <c r="G16" s="15">
        <f>+E16</f>
        <v>2286.36</v>
      </c>
      <c r="H16" s="15"/>
    </row>
    <row r="17" spans="1:9" s="16" customFormat="1" x14ac:dyDescent="0.35">
      <c r="B17" s="19">
        <v>42740</v>
      </c>
      <c r="C17" s="16" t="s">
        <v>98</v>
      </c>
      <c r="D17" s="16" t="s">
        <v>99</v>
      </c>
      <c r="E17" s="20">
        <v>1000</v>
      </c>
      <c r="F17" s="20"/>
      <c r="G17" s="20">
        <v>1000</v>
      </c>
      <c r="H17" s="15"/>
      <c r="I17" s="21">
        <v>0.43124999999999997</v>
      </c>
    </row>
    <row r="18" spans="1:9" s="16" customFormat="1" x14ac:dyDescent="0.35">
      <c r="A18" s="13"/>
      <c r="B18" s="14">
        <v>42742</v>
      </c>
      <c r="C18" s="13" t="s">
        <v>98</v>
      </c>
      <c r="D18" s="13" t="s">
        <v>99</v>
      </c>
      <c r="E18" s="15">
        <v>500</v>
      </c>
      <c r="F18" s="15"/>
      <c r="G18" s="15">
        <v>500</v>
      </c>
      <c r="H18" s="15"/>
      <c r="I18" s="21">
        <v>0.41666666666666669</v>
      </c>
    </row>
    <row r="19" spans="1:9" s="16" customFormat="1" x14ac:dyDescent="0.35">
      <c r="A19" s="13"/>
      <c r="B19" s="14">
        <v>42744</v>
      </c>
      <c r="C19" s="13" t="s">
        <v>98</v>
      </c>
      <c r="D19" s="13" t="s">
        <v>99</v>
      </c>
      <c r="E19" s="15">
        <v>500</v>
      </c>
      <c r="F19" s="15"/>
      <c r="G19" s="15">
        <v>500</v>
      </c>
      <c r="H19" s="15"/>
      <c r="I19" s="21">
        <v>0.39027777777777778</v>
      </c>
    </row>
    <row r="20" spans="1:9" s="16" customFormat="1" x14ac:dyDescent="0.35">
      <c r="A20" s="13"/>
      <c r="B20" s="14">
        <v>42747</v>
      </c>
      <c r="C20" s="16" t="s">
        <v>101</v>
      </c>
      <c r="D20" s="16" t="s">
        <v>102</v>
      </c>
      <c r="E20" s="15">
        <v>1999.74</v>
      </c>
      <c r="F20" s="15"/>
      <c r="G20" s="15">
        <v>1999.74</v>
      </c>
      <c r="H20" s="15"/>
    </row>
    <row r="21" spans="1:9" s="16" customFormat="1" x14ac:dyDescent="0.35">
      <c r="B21" s="19">
        <v>42748</v>
      </c>
      <c r="C21" s="16" t="s">
        <v>98</v>
      </c>
      <c r="D21" s="16" t="s">
        <v>99</v>
      </c>
      <c r="E21" s="20">
        <v>1000</v>
      </c>
      <c r="F21" s="20"/>
      <c r="G21" s="20">
        <v>1000</v>
      </c>
      <c r="H21" s="20"/>
      <c r="I21" s="21">
        <v>0.37083333333333335</v>
      </c>
    </row>
    <row r="22" spans="1:9" s="16" customFormat="1" x14ac:dyDescent="0.35">
      <c r="B22" s="19">
        <v>42751</v>
      </c>
      <c r="C22" s="16" t="s">
        <v>98</v>
      </c>
      <c r="D22" s="16" t="s">
        <v>99</v>
      </c>
      <c r="E22" s="20">
        <v>1000</v>
      </c>
      <c r="F22" s="20"/>
      <c r="G22" s="20">
        <v>1000</v>
      </c>
      <c r="H22" s="20"/>
      <c r="I22" s="21">
        <v>0.39166666666666666</v>
      </c>
    </row>
    <row r="23" spans="1:9" s="16" customFormat="1" x14ac:dyDescent="0.35">
      <c r="B23" s="19">
        <v>42752</v>
      </c>
      <c r="C23" s="16" t="s">
        <v>98</v>
      </c>
      <c r="D23" s="16" t="s">
        <v>99</v>
      </c>
      <c r="E23" s="20">
        <v>1000</v>
      </c>
      <c r="F23" s="20"/>
      <c r="G23" s="20">
        <v>1000</v>
      </c>
      <c r="H23" s="20"/>
      <c r="I23" s="21">
        <v>0.41388888888888892</v>
      </c>
    </row>
    <row r="24" spans="1:9" s="16" customFormat="1" ht="29" x14ac:dyDescent="0.35">
      <c r="A24" s="14">
        <v>42753</v>
      </c>
      <c r="B24" s="14">
        <v>42754</v>
      </c>
      <c r="C24" s="15" t="s">
        <v>108</v>
      </c>
      <c r="D24" s="13" t="s">
        <v>104</v>
      </c>
      <c r="E24" s="15">
        <v>1819</v>
      </c>
      <c r="F24" s="15"/>
      <c r="G24" s="15">
        <f>+E24</f>
        <v>1819</v>
      </c>
      <c r="H24" s="15"/>
    </row>
    <row r="25" spans="1:9" s="16" customFormat="1" x14ac:dyDescent="0.35">
      <c r="B25" s="19">
        <v>42755</v>
      </c>
      <c r="C25" s="16" t="s">
        <v>98</v>
      </c>
      <c r="D25" s="16" t="s">
        <v>99</v>
      </c>
      <c r="E25" s="20">
        <v>1000</v>
      </c>
      <c r="F25" s="20"/>
      <c r="G25" s="20">
        <v>1000</v>
      </c>
      <c r="H25" s="20"/>
      <c r="I25" s="21">
        <v>0.32083333333333336</v>
      </c>
    </row>
    <row r="26" spans="1:9" s="16" customFormat="1" x14ac:dyDescent="0.35">
      <c r="B26" s="19">
        <v>42756</v>
      </c>
      <c r="C26" s="16" t="s">
        <v>98</v>
      </c>
      <c r="D26" s="16" t="s">
        <v>99</v>
      </c>
      <c r="E26" s="20">
        <v>700</v>
      </c>
      <c r="F26" s="20"/>
      <c r="G26" s="20">
        <v>700</v>
      </c>
      <c r="H26" s="20"/>
      <c r="I26" s="21">
        <v>0.37013888888888885</v>
      </c>
    </row>
    <row r="27" spans="1:9" s="16" customFormat="1" x14ac:dyDescent="0.35">
      <c r="B27" s="19">
        <v>42759</v>
      </c>
      <c r="C27" s="16" t="s">
        <v>98</v>
      </c>
      <c r="D27" s="16" t="s">
        <v>99</v>
      </c>
      <c r="E27" s="20">
        <v>1000</v>
      </c>
      <c r="F27" s="20"/>
      <c r="G27" s="20">
        <v>1000</v>
      </c>
      <c r="H27" s="20"/>
      <c r="I27" s="21">
        <v>0.38194444444444442</v>
      </c>
    </row>
    <row r="28" spans="1:9" s="16" customFormat="1" x14ac:dyDescent="0.35">
      <c r="B28" s="19">
        <v>42760</v>
      </c>
      <c r="C28" s="16" t="s">
        <v>98</v>
      </c>
      <c r="D28" s="16" t="s">
        <v>99</v>
      </c>
      <c r="E28" s="20">
        <v>1000</v>
      </c>
      <c r="F28" s="20"/>
      <c r="G28" s="20">
        <v>1000</v>
      </c>
      <c r="H28" s="20"/>
      <c r="I28" s="21">
        <v>0.39861111111111108</v>
      </c>
    </row>
    <row r="29" spans="1:9" s="16" customFormat="1" x14ac:dyDescent="0.35">
      <c r="B29" s="19">
        <v>42761</v>
      </c>
      <c r="C29" s="16" t="s">
        <v>98</v>
      </c>
      <c r="D29" s="16" t="s">
        <v>99</v>
      </c>
      <c r="E29" s="20">
        <v>1000</v>
      </c>
      <c r="F29" s="20"/>
      <c r="G29" s="20">
        <v>1000</v>
      </c>
      <c r="H29" s="20"/>
      <c r="I29" s="21">
        <v>0.32291666666666669</v>
      </c>
    </row>
    <row r="30" spans="1:9" s="16" customFormat="1" x14ac:dyDescent="0.35">
      <c r="B30" s="19">
        <v>42762</v>
      </c>
      <c r="C30" s="16" t="s">
        <v>98</v>
      </c>
      <c r="D30" s="16" t="s">
        <v>99</v>
      </c>
      <c r="E30" s="20">
        <v>700</v>
      </c>
      <c r="F30" s="20"/>
      <c r="G30" s="20">
        <v>700</v>
      </c>
      <c r="H30" s="20"/>
      <c r="I30" s="21">
        <v>0.39583333333333331</v>
      </c>
    </row>
    <row r="31" spans="1:9" s="16" customFormat="1" x14ac:dyDescent="0.35">
      <c r="B31" s="19">
        <v>42766</v>
      </c>
      <c r="C31" s="16" t="s">
        <v>98</v>
      </c>
      <c r="D31" s="16" t="s">
        <v>99</v>
      </c>
      <c r="E31" s="20">
        <v>1000</v>
      </c>
      <c r="F31" s="20"/>
      <c r="G31" s="20">
        <v>1000</v>
      </c>
      <c r="H31" s="20"/>
      <c r="I31" s="21">
        <v>0.38194444444444442</v>
      </c>
    </row>
    <row r="32" spans="1:9" s="16" customFormat="1" x14ac:dyDescent="0.35">
      <c r="B32" s="19">
        <v>42767</v>
      </c>
      <c r="C32" s="16" t="s">
        <v>98</v>
      </c>
      <c r="D32" s="16" t="s">
        <v>99</v>
      </c>
      <c r="E32" s="20">
        <v>400</v>
      </c>
      <c r="F32" s="20"/>
      <c r="G32" s="20">
        <v>400</v>
      </c>
      <c r="H32" s="20"/>
      <c r="I32" s="21">
        <v>0.35416666666666669</v>
      </c>
    </row>
    <row r="33" spans="1:9" s="16" customFormat="1" x14ac:dyDescent="0.35">
      <c r="B33" s="19">
        <v>42768</v>
      </c>
      <c r="C33" s="16" t="s">
        <v>98</v>
      </c>
      <c r="D33" s="16" t="s">
        <v>99</v>
      </c>
      <c r="E33" s="20">
        <v>500</v>
      </c>
      <c r="F33" s="20"/>
      <c r="G33" s="20">
        <v>500</v>
      </c>
      <c r="H33" s="20"/>
      <c r="I33" s="21">
        <v>0.38611111111111113</v>
      </c>
    </row>
    <row r="34" spans="1:9" s="16" customFormat="1" x14ac:dyDescent="0.35">
      <c r="B34" s="19">
        <v>42769</v>
      </c>
      <c r="C34" s="16" t="s">
        <v>98</v>
      </c>
      <c r="D34" s="16" t="s">
        <v>99</v>
      </c>
      <c r="E34" s="20">
        <v>1000</v>
      </c>
      <c r="F34" s="20"/>
      <c r="G34" s="20">
        <v>1000</v>
      </c>
      <c r="H34" s="20"/>
      <c r="I34" s="21">
        <v>0.38472222222222219</v>
      </c>
    </row>
    <row r="35" spans="1:9" s="16" customFormat="1" x14ac:dyDescent="0.35">
      <c r="A35" s="13"/>
      <c r="B35" s="14">
        <v>42772</v>
      </c>
      <c r="C35" s="13" t="s">
        <v>98</v>
      </c>
      <c r="D35" s="13" t="s">
        <v>99</v>
      </c>
      <c r="E35" s="15">
        <v>500</v>
      </c>
      <c r="F35" s="15"/>
      <c r="G35" s="15">
        <v>500</v>
      </c>
      <c r="H35" s="15"/>
      <c r="I35" s="21">
        <v>0.3576388888888889</v>
      </c>
    </row>
    <row r="36" spans="1:9" s="16" customFormat="1" x14ac:dyDescent="0.35">
      <c r="A36" s="1"/>
      <c r="B36" s="22">
        <v>42773</v>
      </c>
      <c r="C36" s="1" t="s">
        <v>106</v>
      </c>
      <c r="D36" s="1" t="s">
        <v>107</v>
      </c>
      <c r="E36" s="12">
        <v>214.5</v>
      </c>
      <c r="F36" s="12"/>
      <c r="G36" s="12"/>
      <c r="H36" s="10">
        <v>214.5</v>
      </c>
    </row>
    <row r="37" spans="1:9" s="1" customFormat="1" x14ac:dyDescent="0.35">
      <c r="A37" s="3">
        <v>42754</v>
      </c>
      <c r="B37" s="3">
        <v>42773</v>
      </c>
      <c r="C37" s="4" t="s">
        <v>27</v>
      </c>
      <c r="D37" s="4" t="s">
        <v>28</v>
      </c>
      <c r="E37" s="11">
        <v>129.99</v>
      </c>
      <c r="F37" s="11"/>
      <c r="G37" s="10"/>
      <c r="H37" s="11">
        <v>129.99</v>
      </c>
    </row>
    <row r="38" spans="1:9" s="1" customFormat="1" x14ac:dyDescent="0.35">
      <c r="A38" s="3"/>
      <c r="B38" s="3">
        <v>42776</v>
      </c>
      <c r="C38" s="4" t="s">
        <v>101</v>
      </c>
      <c r="D38" s="4" t="s">
        <v>102</v>
      </c>
      <c r="E38" s="11">
        <v>523.46</v>
      </c>
      <c r="F38" s="11"/>
      <c r="G38" s="11">
        <v>523.46</v>
      </c>
      <c r="H38" s="11"/>
    </row>
    <row r="39" spans="1:9" s="1" customFormat="1" x14ac:dyDescent="0.35">
      <c r="A39" s="3"/>
      <c r="B39" s="3">
        <v>42776</v>
      </c>
      <c r="C39" s="4" t="s">
        <v>98</v>
      </c>
      <c r="D39" s="4" t="s">
        <v>99</v>
      </c>
      <c r="E39" s="11">
        <v>500</v>
      </c>
      <c r="F39" s="11"/>
      <c r="G39" s="10">
        <v>500</v>
      </c>
      <c r="H39" s="11"/>
      <c r="I39" s="23">
        <v>0.40416666666666662</v>
      </c>
    </row>
    <row r="40" spans="1:9" s="1" customFormat="1" x14ac:dyDescent="0.35">
      <c r="A40" s="2">
        <v>42766</v>
      </c>
      <c r="B40" s="2">
        <v>42776</v>
      </c>
      <c r="C40" t="s">
        <v>7</v>
      </c>
      <c r="D40" t="s">
        <v>8</v>
      </c>
      <c r="E40" s="10">
        <v>573.72</v>
      </c>
      <c r="F40" s="11"/>
      <c r="G40" s="10">
        <v>573.72</v>
      </c>
      <c r="H40" s="11"/>
    </row>
    <row r="41" spans="1:9" s="1" customFormat="1" x14ac:dyDescent="0.35">
      <c r="A41" s="3">
        <v>42780</v>
      </c>
      <c r="B41" s="3">
        <v>42793</v>
      </c>
      <c r="C41" s="4" t="s">
        <v>16</v>
      </c>
      <c r="D41" s="4" t="s">
        <v>17</v>
      </c>
      <c r="E41" s="11">
        <v>1204.02</v>
      </c>
      <c r="F41" s="11"/>
      <c r="G41" s="11">
        <v>1204.02</v>
      </c>
      <c r="H41" s="11"/>
    </row>
    <row r="42" spans="1:9" ht="29" x14ac:dyDescent="0.35">
      <c r="A42" s="3">
        <v>42781</v>
      </c>
      <c r="B42" s="3">
        <v>42793</v>
      </c>
      <c r="C42" s="4" t="s">
        <v>13</v>
      </c>
      <c r="D42" s="4" t="s">
        <v>14</v>
      </c>
      <c r="E42" s="11">
        <v>2292.52</v>
      </c>
      <c r="F42" s="18" t="s">
        <v>15</v>
      </c>
      <c r="G42" s="11">
        <v>2292.52</v>
      </c>
    </row>
    <row r="43" spans="1:9" ht="43.5" x14ac:dyDescent="0.35">
      <c r="A43" s="3">
        <v>42773</v>
      </c>
      <c r="B43" s="3">
        <v>42793</v>
      </c>
      <c r="C43" s="5" t="s">
        <v>9</v>
      </c>
      <c r="D43" s="4" t="s">
        <v>10</v>
      </c>
      <c r="E43" s="11">
        <v>3132.86</v>
      </c>
      <c r="F43" s="11"/>
      <c r="G43" s="11">
        <v>3132.86</v>
      </c>
      <c r="H43" s="11"/>
    </row>
    <row r="44" spans="1:9" s="4" customFormat="1" x14ac:dyDescent="0.35">
      <c r="A44" s="3"/>
      <c r="B44" s="3">
        <v>42794</v>
      </c>
      <c r="C44" s="5" t="s">
        <v>98</v>
      </c>
      <c r="D44" s="4" t="s">
        <v>99</v>
      </c>
      <c r="E44" s="11">
        <v>400</v>
      </c>
      <c r="F44" s="11"/>
      <c r="G44" s="11">
        <f>E44</f>
        <v>400</v>
      </c>
      <c r="H44" s="10"/>
    </row>
    <row r="45" spans="1:9" x14ac:dyDescent="0.35">
      <c r="A45" s="2">
        <v>42787</v>
      </c>
      <c r="B45" s="2">
        <v>42797</v>
      </c>
      <c r="C45" t="s">
        <v>11</v>
      </c>
      <c r="D45" t="s">
        <v>12</v>
      </c>
      <c r="E45" s="10">
        <v>464.22</v>
      </c>
      <c r="G45" s="11">
        <f>E45</f>
        <v>464.22</v>
      </c>
      <c r="H45" s="11"/>
    </row>
    <row r="46" spans="1:9" s="4" customFormat="1" x14ac:dyDescent="0.35">
      <c r="A46" s="2">
        <v>42797</v>
      </c>
      <c r="B46" s="2">
        <v>42797</v>
      </c>
      <c r="C46" t="s">
        <v>49</v>
      </c>
      <c r="D46" t="s">
        <v>50</v>
      </c>
      <c r="E46" s="10">
        <v>508.65</v>
      </c>
      <c r="H46" s="10">
        <v>508.65</v>
      </c>
    </row>
    <row r="47" spans="1:9" s="4" customFormat="1" x14ac:dyDescent="0.35">
      <c r="B47" s="3">
        <v>42801</v>
      </c>
      <c r="C47" s="4" t="s">
        <v>98</v>
      </c>
      <c r="D47" s="4" t="s">
        <v>99</v>
      </c>
      <c r="E47" s="11">
        <v>400</v>
      </c>
      <c r="F47" s="11"/>
      <c r="G47" s="11">
        <v>400</v>
      </c>
      <c r="H47" s="11"/>
      <c r="I47" s="24">
        <v>0.48333333333333334</v>
      </c>
    </row>
    <row r="48" spans="1:9" s="4" customFormat="1" x14ac:dyDescent="0.35">
      <c r="B48" s="3">
        <v>42807</v>
      </c>
      <c r="C48" s="4" t="s">
        <v>98</v>
      </c>
      <c r="D48" s="4" t="s">
        <v>99</v>
      </c>
      <c r="E48" s="11">
        <v>400</v>
      </c>
      <c r="F48" s="11"/>
      <c r="G48" s="11">
        <v>400</v>
      </c>
      <c r="H48" s="11"/>
      <c r="I48" s="24">
        <v>0.41250000000000003</v>
      </c>
    </row>
    <row r="49" spans="1:9" s="4" customFormat="1" x14ac:dyDescent="0.35">
      <c r="A49" s="3">
        <v>42800</v>
      </c>
      <c r="B49" s="3">
        <v>42809</v>
      </c>
      <c r="C49" s="4" t="s">
        <v>114</v>
      </c>
      <c r="D49" s="4" t="s">
        <v>102</v>
      </c>
      <c r="E49" s="11">
        <v>637.76</v>
      </c>
      <c r="F49" s="11"/>
      <c r="G49" s="11">
        <v>637.76</v>
      </c>
      <c r="H49" s="11"/>
    </row>
    <row r="50" spans="1:9" s="4" customFormat="1" x14ac:dyDescent="0.35">
      <c r="A50" s="3"/>
      <c r="B50" s="2">
        <v>42810</v>
      </c>
      <c r="C50" s="4" t="s">
        <v>98</v>
      </c>
      <c r="D50" s="4" t="s">
        <v>99</v>
      </c>
      <c r="E50" s="11">
        <v>400</v>
      </c>
      <c r="F50" s="11"/>
      <c r="G50" s="11">
        <v>400</v>
      </c>
      <c r="H50" s="11"/>
      <c r="I50" s="24">
        <v>0.39583333333333331</v>
      </c>
    </row>
    <row r="51" spans="1:9" s="4" customFormat="1" x14ac:dyDescent="0.35">
      <c r="A51" s="3"/>
      <c r="B51" s="2">
        <v>42811</v>
      </c>
      <c r="C51" s="4" t="s">
        <v>109</v>
      </c>
      <c r="D51" s="4" t="s">
        <v>110</v>
      </c>
      <c r="E51" s="11">
        <v>140</v>
      </c>
      <c r="F51" s="11"/>
      <c r="G51" s="11">
        <v>140</v>
      </c>
      <c r="H51" s="11"/>
    </row>
    <row r="52" spans="1:9" s="4" customFormat="1" x14ac:dyDescent="0.35">
      <c r="A52" s="3"/>
      <c r="B52" s="2">
        <v>42814</v>
      </c>
      <c r="C52" s="4" t="s">
        <v>98</v>
      </c>
      <c r="D52" s="4" t="s">
        <v>99</v>
      </c>
      <c r="E52" s="11">
        <v>200</v>
      </c>
      <c r="F52" s="11"/>
      <c r="G52" s="11">
        <v>200</v>
      </c>
      <c r="H52" s="11"/>
      <c r="I52" s="24">
        <v>0.67291666666666661</v>
      </c>
    </row>
    <row r="53" spans="1:9" s="4" customFormat="1" x14ac:dyDescent="0.35">
      <c r="B53" s="3">
        <v>42817</v>
      </c>
      <c r="C53" s="4" t="s">
        <v>98</v>
      </c>
      <c r="D53" s="4" t="s">
        <v>99</v>
      </c>
      <c r="E53" s="11">
        <v>300</v>
      </c>
      <c r="F53" s="11"/>
      <c r="G53" s="11">
        <v>300</v>
      </c>
      <c r="H53" s="11"/>
      <c r="I53" s="24">
        <v>0.32847222222222222</v>
      </c>
    </row>
    <row r="54" spans="1:9" s="4" customFormat="1" x14ac:dyDescent="0.35">
      <c r="A54" s="2">
        <v>42818</v>
      </c>
      <c r="B54" s="2">
        <v>42818</v>
      </c>
      <c r="C54" t="s">
        <v>51</v>
      </c>
      <c r="D54" t="s">
        <v>50</v>
      </c>
      <c r="E54" s="10">
        <v>2311.4</v>
      </c>
      <c r="F54" s="11"/>
      <c r="G54" s="11"/>
      <c r="H54" s="10">
        <v>2311.4</v>
      </c>
    </row>
    <row r="55" spans="1:9" s="4" customFormat="1" x14ac:dyDescent="0.35">
      <c r="B55" s="3">
        <v>42828</v>
      </c>
      <c r="C55" s="4" t="s">
        <v>111</v>
      </c>
      <c r="D55" s="4" t="s">
        <v>110</v>
      </c>
      <c r="E55" s="4">
        <v>40.99</v>
      </c>
      <c r="F55" s="11"/>
      <c r="G55" s="11">
        <v>40.99</v>
      </c>
      <c r="H55" s="11"/>
    </row>
    <row r="56" spans="1:9" s="4" customFormat="1" x14ac:dyDescent="0.35">
      <c r="B56" s="3">
        <v>42829</v>
      </c>
      <c r="C56" s="4" t="s">
        <v>98</v>
      </c>
      <c r="D56" s="4" t="s">
        <v>99</v>
      </c>
      <c r="E56" s="11">
        <v>400</v>
      </c>
      <c r="F56" s="11"/>
      <c r="G56" s="11">
        <v>400</v>
      </c>
      <c r="H56" s="11"/>
    </row>
    <row r="57" spans="1:9" s="4" customFormat="1" x14ac:dyDescent="0.35">
      <c r="B57" s="3">
        <v>42830</v>
      </c>
      <c r="C57" s="4" t="s">
        <v>112</v>
      </c>
      <c r="D57" s="4" t="s">
        <v>110</v>
      </c>
      <c r="E57" s="11">
        <v>518.97</v>
      </c>
      <c r="F57" s="11"/>
      <c r="G57" s="11">
        <v>518.97</v>
      </c>
      <c r="H57" s="11"/>
    </row>
    <row r="58" spans="1:9" s="4" customFormat="1" x14ac:dyDescent="0.35">
      <c r="B58" s="3">
        <v>42832</v>
      </c>
      <c r="C58" s="4" t="s">
        <v>98</v>
      </c>
      <c r="D58" s="4" t="s">
        <v>99</v>
      </c>
      <c r="E58" s="11">
        <v>300</v>
      </c>
      <c r="F58" s="11"/>
      <c r="G58" s="11">
        <v>300</v>
      </c>
      <c r="H58" s="11"/>
    </row>
    <row r="59" spans="1:9" s="4" customFormat="1" x14ac:dyDescent="0.35">
      <c r="B59" s="3">
        <v>42836</v>
      </c>
      <c r="C59" s="4" t="s">
        <v>98</v>
      </c>
      <c r="D59" s="4" t="s">
        <v>99</v>
      </c>
      <c r="E59" s="11">
        <v>500</v>
      </c>
      <c r="F59" s="11"/>
      <c r="G59" s="11">
        <v>500</v>
      </c>
      <c r="H59" s="11"/>
    </row>
    <row r="60" spans="1:9" s="4" customFormat="1" x14ac:dyDescent="0.35">
      <c r="B60" s="3">
        <v>42843</v>
      </c>
      <c r="C60" s="4" t="s">
        <v>98</v>
      </c>
      <c r="D60" s="4" t="s">
        <v>99</v>
      </c>
      <c r="E60" s="11">
        <v>100</v>
      </c>
      <c r="F60" s="11"/>
      <c r="G60" s="11">
        <v>100</v>
      </c>
      <c r="H60" s="11"/>
    </row>
    <row r="61" spans="1:9" s="4" customFormat="1" x14ac:dyDescent="0.35">
      <c r="B61" s="3">
        <v>42851</v>
      </c>
      <c r="C61" s="4" t="s">
        <v>98</v>
      </c>
      <c r="D61" s="4" t="s">
        <v>99</v>
      </c>
      <c r="E61" s="11">
        <v>500</v>
      </c>
      <c r="F61" s="11"/>
      <c r="G61" s="11">
        <v>500</v>
      </c>
      <c r="H61" s="11"/>
    </row>
    <row r="62" spans="1:9" s="4" customFormat="1" x14ac:dyDescent="0.35">
      <c r="B62" s="3">
        <v>42853</v>
      </c>
      <c r="C62" s="4" t="s">
        <v>98</v>
      </c>
      <c r="D62" s="4" t="s">
        <v>99</v>
      </c>
      <c r="E62" s="11">
        <v>100</v>
      </c>
      <c r="F62" s="11"/>
      <c r="G62" s="11">
        <v>100</v>
      </c>
      <c r="H62" s="11"/>
    </row>
    <row r="63" spans="1:9" x14ac:dyDescent="0.35">
      <c r="B63" s="2">
        <v>42859</v>
      </c>
      <c r="C63" s="4" t="s">
        <v>98</v>
      </c>
      <c r="D63" s="4" t="s">
        <v>99</v>
      </c>
      <c r="E63" s="10">
        <v>100</v>
      </c>
      <c r="G63" s="10">
        <v>100</v>
      </c>
    </row>
    <row r="64" spans="1:9" s="4" customFormat="1" x14ac:dyDescent="0.35">
      <c r="B64" s="3">
        <v>42864</v>
      </c>
      <c r="C64" s="4" t="s">
        <v>98</v>
      </c>
      <c r="D64" s="4" t="s">
        <v>99</v>
      </c>
      <c r="E64" s="11">
        <v>400</v>
      </c>
      <c r="F64" s="11"/>
      <c r="G64" s="11">
        <v>400</v>
      </c>
      <c r="H64" s="11"/>
    </row>
    <row r="65" spans="1:8" s="4" customFormat="1" x14ac:dyDescent="0.35">
      <c r="B65" s="3">
        <v>42865</v>
      </c>
      <c r="C65" s="4" t="s">
        <v>98</v>
      </c>
      <c r="D65" s="4" t="s">
        <v>99</v>
      </c>
      <c r="E65" s="11">
        <v>100</v>
      </c>
      <c r="F65" s="11"/>
      <c r="G65" s="11">
        <v>100</v>
      </c>
      <c r="H65" s="11"/>
    </row>
    <row r="66" spans="1:8" s="4" customFormat="1" x14ac:dyDescent="0.35">
      <c r="B66" s="3">
        <v>42870</v>
      </c>
      <c r="C66" s="4" t="s">
        <v>98</v>
      </c>
      <c r="D66" s="4" t="s">
        <v>99</v>
      </c>
      <c r="E66" s="11">
        <v>100</v>
      </c>
      <c r="F66" s="11"/>
      <c r="G66" s="11">
        <v>100</v>
      </c>
      <c r="H66" s="11"/>
    </row>
    <row r="67" spans="1:8" s="4" customFormat="1" x14ac:dyDescent="0.35">
      <c r="B67" s="3">
        <v>42870</v>
      </c>
      <c r="C67" s="4" t="s">
        <v>98</v>
      </c>
      <c r="D67" s="4" t="s">
        <v>99</v>
      </c>
      <c r="E67" s="11">
        <v>100</v>
      </c>
      <c r="F67" s="11"/>
      <c r="G67" s="11">
        <v>100</v>
      </c>
      <c r="H67" s="11"/>
    </row>
    <row r="68" spans="1:8" s="4" customFormat="1" x14ac:dyDescent="0.35">
      <c r="A68" s="3"/>
      <c r="B68" s="3">
        <v>42874</v>
      </c>
      <c r="C68" s="4" t="s">
        <v>98</v>
      </c>
      <c r="D68" s="4" t="s">
        <v>99</v>
      </c>
      <c r="E68" s="11">
        <v>100</v>
      </c>
      <c r="F68" s="11"/>
      <c r="G68" s="11">
        <v>100</v>
      </c>
      <c r="H68" s="11"/>
    </row>
    <row r="69" spans="1:8" s="4" customFormat="1" x14ac:dyDescent="0.35">
      <c r="A69" s="3"/>
      <c r="B69" s="3">
        <v>42877</v>
      </c>
      <c r="C69" s="4" t="s">
        <v>98</v>
      </c>
      <c r="D69" s="4" t="s">
        <v>99</v>
      </c>
      <c r="E69" s="11">
        <v>100</v>
      </c>
      <c r="F69" s="11"/>
      <c r="G69" s="11">
        <v>100</v>
      </c>
      <c r="H69" s="11"/>
    </row>
    <row r="70" spans="1:8" s="4" customFormat="1" x14ac:dyDescent="0.35">
      <c r="A70" s="3"/>
      <c r="B70" s="3">
        <v>42878</v>
      </c>
      <c r="C70" s="4" t="s">
        <v>98</v>
      </c>
      <c r="D70" s="4" t="s">
        <v>99</v>
      </c>
      <c r="E70" s="11">
        <v>100</v>
      </c>
      <c r="F70" s="11"/>
      <c r="G70" s="11">
        <v>100</v>
      </c>
      <c r="H70" s="11"/>
    </row>
    <row r="71" spans="1:8" s="4" customFormat="1" x14ac:dyDescent="0.35">
      <c r="B71" s="3">
        <v>42881</v>
      </c>
      <c r="C71" s="4" t="s">
        <v>98</v>
      </c>
      <c r="D71" s="4" t="s">
        <v>99</v>
      </c>
      <c r="E71" s="11">
        <v>100</v>
      </c>
      <c r="F71" s="11"/>
      <c r="G71" s="11">
        <v>100</v>
      </c>
      <c r="H71" s="11"/>
    </row>
    <row r="72" spans="1:8" s="4" customFormat="1" x14ac:dyDescent="0.35">
      <c r="B72" s="3">
        <v>42884</v>
      </c>
      <c r="C72" s="4" t="s">
        <v>98</v>
      </c>
      <c r="D72" s="4" t="s">
        <v>99</v>
      </c>
      <c r="E72" s="11">
        <v>200</v>
      </c>
      <c r="F72" s="11"/>
      <c r="G72" s="11">
        <v>200</v>
      </c>
      <c r="H72" s="11"/>
    </row>
    <row r="73" spans="1:8" s="4" customFormat="1" x14ac:dyDescent="0.35">
      <c r="A73" s="3">
        <v>42886</v>
      </c>
      <c r="B73" s="3">
        <v>42892</v>
      </c>
      <c r="C73" s="4" t="s">
        <v>72</v>
      </c>
      <c r="D73" s="4" t="s">
        <v>73</v>
      </c>
      <c r="E73" s="11">
        <v>456.49</v>
      </c>
      <c r="F73" s="10"/>
      <c r="G73" s="10"/>
      <c r="H73" s="11">
        <v>456.49</v>
      </c>
    </row>
    <row r="74" spans="1:8" s="4" customFormat="1" x14ac:dyDescent="0.35">
      <c r="A74" s="2">
        <v>42916</v>
      </c>
      <c r="B74" s="2">
        <v>42930</v>
      </c>
      <c r="C74" s="4" t="s">
        <v>7</v>
      </c>
      <c r="D74" s="4" t="s">
        <v>8</v>
      </c>
      <c r="E74" s="11">
        <v>395</v>
      </c>
      <c r="F74" s="11"/>
      <c r="G74" s="11"/>
      <c r="H74" s="11">
        <v>395</v>
      </c>
    </row>
    <row r="75" spans="1:8" s="4" customFormat="1" x14ac:dyDescent="0.35">
      <c r="A75" s="3">
        <v>42935</v>
      </c>
      <c r="B75" s="3">
        <v>42942</v>
      </c>
      <c r="C75" s="4" t="s">
        <v>79</v>
      </c>
      <c r="D75" s="4" t="s">
        <v>80</v>
      </c>
      <c r="E75" s="11">
        <v>264</v>
      </c>
      <c r="F75" s="11"/>
      <c r="G75" s="11"/>
      <c r="H75" s="11">
        <v>264</v>
      </c>
    </row>
    <row r="76" spans="1:8" s="4" customFormat="1" x14ac:dyDescent="0.35">
      <c r="A76" s="3">
        <v>43020</v>
      </c>
      <c r="B76" s="3">
        <v>43028</v>
      </c>
      <c r="C76" s="4" t="s">
        <v>91</v>
      </c>
      <c r="D76" s="4" t="s">
        <v>92</v>
      </c>
      <c r="E76" s="11">
        <f>6195.34-309.77</f>
        <v>5885.57</v>
      </c>
      <c r="F76" s="11"/>
      <c r="G76" s="11"/>
      <c r="H76" s="11">
        <f>6195.34-309.77</f>
        <v>5885.57</v>
      </c>
    </row>
    <row r="77" spans="1:8" s="4" customFormat="1" x14ac:dyDescent="0.35">
      <c r="E77" s="11"/>
      <c r="F77" s="11"/>
      <c r="G77" s="11"/>
      <c r="H77" s="11"/>
    </row>
    <row r="78" spans="1:8" s="4" customFormat="1" x14ac:dyDescent="0.35">
      <c r="B78" s="25" t="s">
        <v>26</v>
      </c>
      <c r="C78" s="25"/>
      <c r="D78" s="25"/>
      <c r="E78" s="26">
        <f>SUM(E2:E76)</f>
        <v>54715.15</v>
      </c>
      <c r="F78" s="26"/>
      <c r="G78" s="11"/>
      <c r="H78" s="11"/>
    </row>
    <row r="79" spans="1:8" s="4" customFormat="1" x14ac:dyDescent="0.35">
      <c r="B79" s="25" t="s">
        <v>26</v>
      </c>
      <c r="C79" s="25" t="s">
        <v>117</v>
      </c>
      <c r="D79" s="25"/>
      <c r="E79" s="26">
        <v>28500</v>
      </c>
      <c r="F79" s="26" t="s">
        <v>116</v>
      </c>
    </row>
    <row r="80" spans="1:8" s="4" customFormat="1" x14ac:dyDescent="0.35">
      <c r="B80" s="25" t="s">
        <v>26</v>
      </c>
      <c r="C80" s="25" t="s">
        <v>113</v>
      </c>
      <c r="D80" s="25"/>
      <c r="E80" s="26">
        <f>E10+E20+E38+E49</f>
        <v>3576.8900000000003</v>
      </c>
      <c r="F80" s="26"/>
    </row>
    <row r="81" spans="2:8" s="4" customFormat="1" x14ac:dyDescent="0.35">
      <c r="B81" s="25"/>
      <c r="C81" s="25" t="s">
        <v>119</v>
      </c>
      <c r="D81" s="25"/>
      <c r="E81" s="26">
        <f>E42</f>
        <v>2292.52</v>
      </c>
      <c r="F81" s="26"/>
    </row>
    <row r="82" spans="2:8" s="4" customFormat="1" x14ac:dyDescent="0.35">
      <c r="B82" s="25"/>
      <c r="C82" s="25" t="s">
        <v>115</v>
      </c>
      <c r="D82" s="25"/>
      <c r="E82" s="26">
        <f>E78-E79-E80-E81</f>
        <v>20345.740000000002</v>
      </c>
      <c r="F82" s="26"/>
    </row>
    <row r="83" spans="2:8" s="4" customFormat="1" x14ac:dyDescent="0.35">
      <c r="E83" s="11"/>
      <c r="F83" s="11"/>
      <c r="G83" s="11"/>
      <c r="H83" s="11"/>
    </row>
    <row r="84" spans="2:8" s="4" customFormat="1" x14ac:dyDescent="0.35">
      <c r="E84" s="11">
        <f>E10+E20+E38+E49</f>
        <v>3576.8900000000003</v>
      </c>
      <c r="G84" s="11"/>
      <c r="H84" s="11"/>
    </row>
    <row r="85" spans="2:8" s="4" customFormat="1" x14ac:dyDescent="0.35">
      <c r="G85" s="11"/>
      <c r="H85" s="11"/>
    </row>
    <row r="86" spans="2:8" s="4" customFormat="1" x14ac:dyDescent="0.35">
      <c r="G86" s="11"/>
      <c r="H86" s="11"/>
    </row>
    <row r="87" spans="2:8" s="4" customFormat="1" x14ac:dyDescent="0.35">
      <c r="G87" s="11"/>
      <c r="H87" s="11"/>
    </row>
    <row r="88" spans="2:8" s="4" customFormat="1" x14ac:dyDescent="0.35">
      <c r="G88" s="11"/>
      <c r="H88" s="11"/>
    </row>
    <row r="89" spans="2:8" s="4" customFormat="1" x14ac:dyDescent="0.35">
      <c r="E89" s="11"/>
      <c r="F89" s="11"/>
      <c r="G89" s="11"/>
      <c r="H89" s="11"/>
    </row>
    <row r="90" spans="2:8" s="4" customFormat="1" x14ac:dyDescent="0.35">
      <c r="E90" s="11"/>
      <c r="F90" s="11"/>
      <c r="G90" s="11"/>
      <c r="H90" s="11"/>
    </row>
    <row r="91" spans="2:8" s="4" customFormat="1" x14ac:dyDescent="0.35">
      <c r="E91" s="11"/>
      <c r="F91" s="11"/>
      <c r="G91" s="11"/>
      <c r="H91" s="11"/>
    </row>
    <row r="92" spans="2:8" s="4" customFormat="1" x14ac:dyDescent="0.35">
      <c r="E92" s="11"/>
      <c r="F92" s="11"/>
      <c r="G92" s="11"/>
      <c r="H92" s="11"/>
    </row>
    <row r="93" spans="2:8" s="4" customFormat="1" x14ac:dyDescent="0.35">
      <c r="E93" s="11"/>
      <c r="F93" s="11"/>
      <c r="G93" s="11"/>
      <c r="H93" s="11"/>
    </row>
    <row r="94" spans="2:8" s="4" customFormat="1" x14ac:dyDescent="0.35">
      <c r="E94" s="11"/>
      <c r="F94" s="11"/>
      <c r="G94" s="11"/>
      <c r="H94" s="11"/>
    </row>
    <row r="95" spans="2:8" s="4" customFormat="1" x14ac:dyDescent="0.35">
      <c r="E95" s="11"/>
      <c r="F95" s="11"/>
      <c r="G95" s="11"/>
      <c r="H95" s="11"/>
    </row>
    <row r="96" spans="2:8" s="4" customFormat="1" x14ac:dyDescent="0.35">
      <c r="E96" s="11"/>
      <c r="F96" s="11"/>
      <c r="G96" s="11"/>
      <c r="H96" s="11"/>
    </row>
    <row r="97" spans="5:8" s="4" customFormat="1" x14ac:dyDescent="0.35">
      <c r="E97" s="11"/>
      <c r="F97" s="11"/>
      <c r="G97" s="11"/>
      <c r="H97" s="11"/>
    </row>
    <row r="98" spans="5:8" s="4" customFormat="1" x14ac:dyDescent="0.35">
      <c r="E98" s="11"/>
      <c r="F98" s="11"/>
      <c r="G98" s="11"/>
      <c r="H98" s="11"/>
    </row>
    <row r="99" spans="5:8" s="4" customFormat="1" x14ac:dyDescent="0.35">
      <c r="E99" s="11"/>
      <c r="F99" s="11"/>
      <c r="G99" s="11"/>
      <c r="H99" s="11"/>
    </row>
    <row r="100" spans="5:8" s="4" customFormat="1" x14ac:dyDescent="0.35">
      <c r="E100" s="11"/>
      <c r="F100" s="11"/>
      <c r="G100" s="11"/>
      <c r="H100" s="11"/>
    </row>
    <row r="101" spans="5:8" s="4" customFormat="1" x14ac:dyDescent="0.35">
      <c r="E101" s="11"/>
      <c r="F101" s="11"/>
      <c r="G101" s="11"/>
      <c r="H101" s="11"/>
    </row>
    <row r="102" spans="5:8" s="4" customFormat="1" x14ac:dyDescent="0.35">
      <c r="E102" s="11"/>
      <c r="F102" s="11"/>
      <c r="G102" s="11"/>
      <c r="H102" s="11"/>
    </row>
    <row r="103" spans="5:8" s="4" customFormat="1" x14ac:dyDescent="0.35">
      <c r="E103" s="11"/>
      <c r="F103" s="11"/>
      <c r="G103" s="11"/>
      <c r="H103" s="11"/>
    </row>
    <row r="104" spans="5:8" s="4" customFormat="1" x14ac:dyDescent="0.35">
      <c r="E104" s="11"/>
      <c r="F104" s="11"/>
      <c r="G104" s="11"/>
      <c r="H104" s="11"/>
    </row>
    <row r="105" spans="5:8" s="4" customFormat="1" x14ac:dyDescent="0.35">
      <c r="E105" s="11"/>
      <c r="F105" s="11"/>
      <c r="G105" s="11"/>
      <c r="H105" s="11"/>
    </row>
    <row r="106" spans="5:8" s="4" customFormat="1" x14ac:dyDescent="0.35">
      <c r="E106" s="11"/>
      <c r="F106" s="11"/>
      <c r="G106" s="11"/>
      <c r="H106" s="11"/>
    </row>
    <row r="107" spans="5:8" s="4" customFormat="1" x14ac:dyDescent="0.35">
      <c r="E107" s="11"/>
      <c r="F107" s="11"/>
      <c r="G107" s="11"/>
      <c r="H107" s="11"/>
    </row>
    <row r="108" spans="5:8" s="4" customFormat="1" x14ac:dyDescent="0.35">
      <c r="E108" s="11"/>
      <c r="F108" s="11"/>
      <c r="G108" s="11"/>
      <c r="H108" s="11"/>
    </row>
    <row r="109" spans="5:8" s="4" customFormat="1" x14ac:dyDescent="0.35">
      <c r="E109" s="11"/>
      <c r="F109" s="11"/>
      <c r="G109" s="11"/>
      <c r="H109" s="11"/>
    </row>
    <row r="110" spans="5:8" s="4" customFormat="1" x14ac:dyDescent="0.35">
      <c r="E110" s="11"/>
      <c r="F110" s="11"/>
      <c r="G110" s="11"/>
      <c r="H110" s="11"/>
    </row>
    <row r="111" spans="5:8" s="4" customFormat="1" x14ac:dyDescent="0.35">
      <c r="E111" s="11"/>
      <c r="F111" s="11"/>
      <c r="G111" s="11"/>
      <c r="H111" s="11"/>
    </row>
    <row r="112" spans="5:8" s="4" customFormat="1" x14ac:dyDescent="0.35">
      <c r="E112" s="11"/>
      <c r="F112" s="11"/>
      <c r="G112" s="11"/>
      <c r="H112" s="11"/>
    </row>
    <row r="113" spans="5:8" s="4" customFormat="1" x14ac:dyDescent="0.35">
      <c r="E113" s="11"/>
      <c r="F113" s="11"/>
      <c r="G113" s="11"/>
      <c r="H113" s="11"/>
    </row>
    <row r="114" spans="5:8" s="4" customFormat="1" x14ac:dyDescent="0.35">
      <c r="E114" s="11"/>
      <c r="F114" s="11"/>
      <c r="G114" s="11"/>
      <c r="H114" s="11"/>
    </row>
    <row r="115" spans="5:8" s="4" customFormat="1" x14ac:dyDescent="0.35">
      <c r="E115" s="11"/>
      <c r="F115" s="11"/>
      <c r="G115" s="11"/>
      <c r="H115" s="11"/>
    </row>
    <row r="116" spans="5:8" s="4" customFormat="1" x14ac:dyDescent="0.35">
      <c r="E116" s="11"/>
      <c r="F116" s="11"/>
      <c r="G116" s="11"/>
      <c r="H116" s="11"/>
    </row>
    <row r="117" spans="5:8" s="4" customFormat="1" x14ac:dyDescent="0.35">
      <c r="E117" s="11"/>
      <c r="F117" s="11"/>
      <c r="G117" s="11"/>
      <c r="H117" s="11"/>
    </row>
    <row r="118" spans="5:8" s="4" customFormat="1" x14ac:dyDescent="0.35">
      <c r="E118" s="11"/>
      <c r="F118" s="11"/>
      <c r="G118" s="11"/>
      <c r="H118" s="11"/>
    </row>
    <row r="119" spans="5:8" s="4" customFormat="1" x14ac:dyDescent="0.35">
      <c r="E119" s="11"/>
      <c r="F119" s="11"/>
      <c r="G119" s="11"/>
      <c r="H119" s="11"/>
    </row>
    <row r="120" spans="5:8" s="4" customFormat="1" x14ac:dyDescent="0.35">
      <c r="E120" s="11"/>
      <c r="F120" s="11"/>
      <c r="G120" s="11"/>
      <c r="H120" s="11"/>
    </row>
    <row r="121" spans="5:8" s="4" customFormat="1" x14ac:dyDescent="0.35">
      <c r="E121" s="11"/>
      <c r="F121" s="11"/>
      <c r="G121" s="11"/>
      <c r="H121" s="11"/>
    </row>
    <row r="122" spans="5:8" s="4" customFormat="1" x14ac:dyDescent="0.35">
      <c r="E122" s="11"/>
      <c r="F122" s="11"/>
      <c r="G122" s="11"/>
      <c r="H122" s="11"/>
    </row>
    <row r="123" spans="5:8" s="4" customFormat="1" x14ac:dyDescent="0.35">
      <c r="E123" s="11"/>
      <c r="F123" s="11"/>
      <c r="G123" s="11"/>
      <c r="H123" s="11"/>
    </row>
    <row r="124" spans="5:8" s="4" customFormat="1" x14ac:dyDescent="0.35">
      <c r="E124" s="11"/>
      <c r="F124" s="11"/>
      <c r="G124" s="11"/>
      <c r="H124" s="11"/>
    </row>
    <row r="125" spans="5:8" s="4" customFormat="1" x14ac:dyDescent="0.35">
      <c r="E125" s="11"/>
      <c r="F125" s="11"/>
      <c r="G125" s="11"/>
      <c r="H125" s="11"/>
    </row>
    <row r="126" spans="5:8" s="4" customFormat="1" x14ac:dyDescent="0.35">
      <c r="E126" s="11"/>
      <c r="F126" s="11"/>
      <c r="G126" s="11"/>
      <c r="H126" s="11"/>
    </row>
    <row r="127" spans="5:8" s="4" customFormat="1" x14ac:dyDescent="0.35">
      <c r="E127" s="11"/>
      <c r="F127" s="11"/>
      <c r="G127" s="11"/>
      <c r="H127" s="11"/>
    </row>
    <row r="128" spans="5:8" s="4" customFormat="1" x14ac:dyDescent="0.35">
      <c r="E128" s="11"/>
      <c r="F128" s="11"/>
      <c r="G128" s="11"/>
      <c r="H128" s="11"/>
    </row>
    <row r="129" spans="5:8" s="4" customFormat="1" x14ac:dyDescent="0.35">
      <c r="E129" s="11"/>
      <c r="F129" s="11"/>
      <c r="G129" s="11"/>
      <c r="H129" s="11"/>
    </row>
    <row r="130" spans="5:8" s="4" customFormat="1" x14ac:dyDescent="0.35">
      <c r="E130" s="11"/>
      <c r="F130" s="11"/>
      <c r="G130" s="11"/>
      <c r="H130" s="11"/>
    </row>
    <row r="131" spans="5:8" s="4" customFormat="1" x14ac:dyDescent="0.35">
      <c r="E131" s="11"/>
      <c r="F131" s="11"/>
      <c r="G131" s="11"/>
      <c r="H131" s="11"/>
    </row>
    <row r="132" spans="5:8" s="4" customFormat="1" x14ac:dyDescent="0.35">
      <c r="E132" s="11"/>
      <c r="F132" s="11"/>
      <c r="G132" s="11"/>
      <c r="H132" s="11"/>
    </row>
    <row r="133" spans="5:8" s="4" customFormat="1" x14ac:dyDescent="0.35">
      <c r="E133" s="11"/>
      <c r="F133" s="11"/>
      <c r="G133" s="11"/>
      <c r="H133" s="11"/>
    </row>
    <row r="134" spans="5:8" s="4" customFormat="1" x14ac:dyDescent="0.35">
      <c r="E134" s="11"/>
      <c r="F134" s="11"/>
      <c r="G134" s="11"/>
      <c r="H134" s="11"/>
    </row>
    <row r="135" spans="5:8" s="4" customFormat="1" x14ac:dyDescent="0.35">
      <c r="E135" s="11"/>
      <c r="F135" s="11"/>
      <c r="G135" s="11"/>
      <c r="H135" s="11"/>
    </row>
    <row r="136" spans="5:8" s="4" customFormat="1" x14ac:dyDescent="0.35">
      <c r="E136" s="11"/>
      <c r="F136" s="11"/>
      <c r="G136" s="11"/>
      <c r="H136" s="11"/>
    </row>
    <row r="137" spans="5:8" s="4" customFormat="1" x14ac:dyDescent="0.35">
      <c r="E137" s="11"/>
      <c r="F137" s="11"/>
      <c r="G137" s="11"/>
      <c r="H137" s="11"/>
    </row>
    <row r="138" spans="5:8" s="4" customFormat="1" x14ac:dyDescent="0.35">
      <c r="E138" s="11"/>
      <c r="F138" s="11"/>
      <c r="G138" s="11"/>
      <c r="H138" s="11"/>
    </row>
    <row r="139" spans="5:8" s="4" customFormat="1" x14ac:dyDescent="0.35">
      <c r="E139" s="11"/>
      <c r="F139" s="11"/>
      <c r="G139" s="11"/>
      <c r="H139" s="11"/>
    </row>
    <row r="140" spans="5:8" s="4" customFormat="1" x14ac:dyDescent="0.35">
      <c r="E140" s="11"/>
      <c r="F140" s="11"/>
      <c r="G140" s="11"/>
      <c r="H140" s="11"/>
    </row>
    <row r="141" spans="5:8" s="4" customFormat="1" x14ac:dyDescent="0.35">
      <c r="E141" s="11"/>
      <c r="F141" s="11"/>
      <c r="G141" s="11"/>
      <c r="H141" s="11"/>
    </row>
    <row r="142" spans="5:8" s="4" customFormat="1" x14ac:dyDescent="0.35">
      <c r="E142" s="11"/>
      <c r="F142" s="11"/>
      <c r="G142" s="11"/>
      <c r="H142" s="11"/>
    </row>
    <row r="143" spans="5:8" s="4" customFormat="1" x14ac:dyDescent="0.35">
      <c r="E143" s="11"/>
      <c r="F143" s="11"/>
      <c r="G143" s="11"/>
      <c r="H143" s="11"/>
    </row>
    <row r="144" spans="5:8" s="4" customFormat="1" x14ac:dyDescent="0.35">
      <c r="E144" s="11"/>
      <c r="F144" s="11"/>
      <c r="G144" s="11"/>
      <c r="H144" s="11"/>
    </row>
    <row r="145" spans="5:8" s="4" customFormat="1" x14ac:dyDescent="0.35">
      <c r="E145" s="11"/>
      <c r="F145" s="11"/>
      <c r="G145" s="11"/>
      <c r="H145" s="11"/>
    </row>
    <row r="146" spans="5:8" s="4" customFormat="1" x14ac:dyDescent="0.35">
      <c r="E146" s="11"/>
      <c r="F146" s="11"/>
      <c r="G146" s="11"/>
      <c r="H146" s="11"/>
    </row>
    <row r="147" spans="5:8" s="4" customFormat="1" x14ac:dyDescent="0.35">
      <c r="E147" s="11"/>
      <c r="F147" s="11"/>
      <c r="G147" s="11"/>
      <c r="H147" s="11"/>
    </row>
    <row r="148" spans="5:8" s="4" customFormat="1" x14ac:dyDescent="0.35">
      <c r="E148" s="11"/>
      <c r="F148" s="11"/>
      <c r="G148" s="11"/>
      <c r="H148" s="11"/>
    </row>
    <row r="149" spans="5:8" s="4" customFormat="1" x14ac:dyDescent="0.35">
      <c r="E149" s="11"/>
      <c r="F149" s="11"/>
      <c r="G149" s="11"/>
      <c r="H149" s="11"/>
    </row>
    <row r="150" spans="5:8" s="4" customFormat="1" x14ac:dyDescent="0.35">
      <c r="E150" s="11"/>
      <c r="F150" s="11"/>
      <c r="G150" s="11"/>
      <c r="H150" s="11"/>
    </row>
    <row r="151" spans="5:8" s="4" customFormat="1" x14ac:dyDescent="0.35">
      <c r="E151" s="11"/>
      <c r="F151" s="11"/>
      <c r="G151" s="11"/>
      <c r="H151" s="11"/>
    </row>
    <row r="152" spans="5:8" s="4" customFormat="1" x14ac:dyDescent="0.35">
      <c r="E152" s="11"/>
      <c r="F152" s="11"/>
      <c r="G152" s="11"/>
      <c r="H152" s="11"/>
    </row>
    <row r="153" spans="5:8" s="4" customFormat="1" x14ac:dyDescent="0.35">
      <c r="E153" s="11"/>
      <c r="F153" s="11"/>
      <c r="G153" s="11"/>
      <c r="H153" s="11"/>
    </row>
    <row r="154" spans="5:8" s="4" customFormat="1" x14ac:dyDescent="0.35">
      <c r="E154" s="11"/>
      <c r="F154" s="11"/>
      <c r="G154" s="11"/>
      <c r="H154" s="11"/>
    </row>
    <row r="155" spans="5:8" s="4" customFormat="1" x14ac:dyDescent="0.35">
      <c r="E155" s="11"/>
      <c r="F155" s="11"/>
      <c r="G155" s="11"/>
      <c r="H155" s="11"/>
    </row>
    <row r="156" spans="5:8" s="4" customFormat="1" x14ac:dyDescent="0.35">
      <c r="E156" s="11"/>
      <c r="F156" s="11"/>
      <c r="G156" s="11"/>
      <c r="H156" s="11"/>
    </row>
    <row r="157" spans="5:8" s="4" customFormat="1" x14ac:dyDescent="0.35">
      <c r="E157" s="11"/>
      <c r="F157" s="11"/>
      <c r="G157" s="11"/>
      <c r="H157" s="11"/>
    </row>
    <row r="158" spans="5:8" s="4" customFormat="1" x14ac:dyDescent="0.35">
      <c r="E158" s="11"/>
      <c r="F158" s="11"/>
      <c r="G158" s="11"/>
      <c r="H158" s="11"/>
    </row>
    <row r="159" spans="5:8" s="4" customFormat="1" x14ac:dyDescent="0.35">
      <c r="E159" s="11"/>
      <c r="F159" s="11"/>
      <c r="G159" s="11"/>
      <c r="H159" s="11"/>
    </row>
    <row r="160" spans="5:8" s="4" customFormat="1" x14ac:dyDescent="0.35">
      <c r="E160" s="11"/>
      <c r="F160" s="11"/>
      <c r="G160" s="11"/>
      <c r="H160" s="11"/>
    </row>
    <row r="161" spans="5:8" s="4" customFormat="1" x14ac:dyDescent="0.35">
      <c r="E161" s="11"/>
      <c r="F161" s="11"/>
      <c r="G161" s="11"/>
      <c r="H161" s="11"/>
    </row>
    <row r="162" spans="5:8" s="4" customFormat="1" x14ac:dyDescent="0.35">
      <c r="E162" s="11"/>
      <c r="F162" s="11"/>
      <c r="G162" s="11"/>
      <c r="H162" s="11"/>
    </row>
    <row r="163" spans="5:8" s="4" customFormat="1" x14ac:dyDescent="0.35">
      <c r="E163" s="11"/>
      <c r="F163" s="11"/>
      <c r="G163" s="11"/>
      <c r="H163" s="11"/>
    </row>
    <row r="164" spans="5:8" s="4" customFormat="1" x14ac:dyDescent="0.35">
      <c r="E164" s="11"/>
      <c r="F164" s="11"/>
      <c r="G164" s="11"/>
      <c r="H164" s="11"/>
    </row>
    <row r="165" spans="5:8" s="4" customFormat="1" x14ac:dyDescent="0.35">
      <c r="E165" s="11"/>
      <c r="F165" s="11"/>
      <c r="G165" s="11"/>
      <c r="H165" s="11"/>
    </row>
    <row r="166" spans="5:8" s="4" customFormat="1" x14ac:dyDescent="0.35">
      <c r="E166" s="11"/>
      <c r="F166" s="11"/>
      <c r="G166" s="11"/>
      <c r="H166" s="11"/>
    </row>
    <row r="167" spans="5:8" s="4" customFormat="1" x14ac:dyDescent="0.35">
      <c r="E167" s="11"/>
      <c r="F167" s="11"/>
      <c r="G167" s="11"/>
      <c r="H167" s="11"/>
    </row>
    <row r="168" spans="5:8" s="4" customFormat="1" x14ac:dyDescent="0.35">
      <c r="E168" s="11"/>
      <c r="F168" s="11"/>
      <c r="G168" s="11"/>
      <c r="H168" s="11"/>
    </row>
    <row r="169" spans="5:8" s="4" customFormat="1" x14ac:dyDescent="0.35">
      <c r="E169" s="11"/>
      <c r="F169" s="11"/>
      <c r="G169" s="11"/>
      <c r="H169" s="11"/>
    </row>
    <row r="170" spans="5:8" s="4" customFormat="1" x14ac:dyDescent="0.35">
      <c r="E170" s="11"/>
      <c r="F170" s="11"/>
      <c r="G170" s="11"/>
      <c r="H170" s="11"/>
    </row>
    <row r="171" spans="5:8" s="4" customFormat="1" x14ac:dyDescent="0.35">
      <c r="E171" s="11"/>
      <c r="F171" s="11"/>
      <c r="G171" s="11"/>
      <c r="H171" s="11"/>
    </row>
  </sheetData>
  <autoFilter ref="A1:I76" xr:uid="{00000000-0009-0000-0000-000000000000}"/>
  <sortState xmlns:xlrd2="http://schemas.microsoft.com/office/spreadsheetml/2017/richdata2" ref="A37:H172">
    <sortCondition ref="B37"/>
  </sortState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24EF-0256-430C-9954-F04A31D3259F}">
  <dimension ref="A1:I90"/>
  <sheetViews>
    <sheetView topLeftCell="B1" zoomScale="80" zoomScaleNormal="80" workbookViewId="0">
      <pane ySplit="1" topLeftCell="A2" activePane="bottomLeft" state="frozen"/>
      <selection pane="bottomLeft" activeCell="E9" sqref="E9"/>
    </sheetView>
  </sheetViews>
  <sheetFormatPr baseColWidth="10" defaultRowHeight="14.5" x14ac:dyDescent="0.35"/>
  <cols>
    <col min="3" max="3" width="53.7265625" customWidth="1"/>
    <col min="4" max="4" width="32.7265625" customWidth="1"/>
    <col min="5" max="5" width="10.90625" style="10"/>
    <col min="6" max="6" width="45.81640625" style="10" customWidth="1"/>
    <col min="7" max="7" width="10.1796875" style="10" bestFit="1" customWidth="1"/>
    <col min="8" max="8" width="9.81640625" style="10" bestFit="1" customWidth="1"/>
    <col min="9" max="9" width="6.90625" bestFit="1" customWidth="1"/>
  </cols>
  <sheetData>
    <row r="1" spans="1:9" s="4" customFormat="1" ht="29" x14ac:dyDescent="0.35">
      <c r="A1" s="9" t="s">
        <v>0</v>
      </c>
      <c r="B1" s="9" t="s">
        <v>2</v>
      </c>
      <c r="C1" s="9" t="s">
        <v>1</v>
      </c>
      <c r="D1" s="9" t="s">
        <v>5</v>
      </c>
      <c r="E1" s="17" t="s">
        <v>3</v>
      </c>
      <c r="F1" s="17"/>
      <c r="G1" s="12" t="s">
        <v>97</v>
      </c>
      <c r="H1" s="12" t="s">
        <v>105</v>
      </c>
      <c r="I1" s="4" t="s">
        <v>100</v>
      </c>
    </row>
    <row r="2" spans="1:9" s="16" customFormat="1" x14ac:dyDescent="0.35">
      <c r="B2" s="14">
        <v>43223</v>
      </c>
      <c r="C2" s="16" t="s">
        <v>101</v>
      </c>
      <c r="D2" s="16" t="s">
        <v>102</v>
      </c>
      <c r="E2" s="15">
        <v>861.8</v>
      </c>
      <c r="F2" s="15"/>
      <c r="G2" s="15">
        <v>1999.74</v>
      </c>
      <c r="H2" s="20"/>
    </row>
    <row r="3" spans="1:9" s="16" customFormat="1" x14ac:dyDescent="0.35">
      <c r="B3" s="19">
        <v>43255</v>
      </c>
      <c r="C3" s="16" t="s">
        <v>101</v>
      </c>
      <c r="D3" s="16" t="s">
        <v>102</v>
      </c>
      <c r="E3" s="20">
        <v>246.28</v>
      </c>
      <c r="F3" s="20"/>
      <c r="G3" s="20">
        <v>415.93</v>
      </c>
      <c r="H3" s="20"/>
    </row>
    <row r="4" spans="1:9" s="1" customFormat="1" x14ac:dyDescent="0.35">
      <c r="A4" s="3"/>
      <c r="B4" s="3">
        <v>43284</v>
      </c>
      <c r="C4" s="4" t="s">
        <v>101</v>
      </c>
      <c r="D4" s="4" t="s">
        <v>102</v>
      </c>
      <c r="E4" s="11">
        <v>112.56</v>
      </c>
      <c r="F4" s="11"/>
      <c r="G4" s="11">
        <v>523.46</v>
      </c>
      <c r="H4" s="11"/>
    </row>
    <row r="5" spans="1:9" s="4" customFormat="1" x14ac:dyDescent="0.35">
      <c r="B5" s="3">
        <v>43620</v>
      </c>
      <c r="C5" s="4" t="s">
        <v>101</v>
      </c>
      <c r="D5" s="4" t="s">
        <v>102</v>
      </c>
      <c r="E5" s="4">
        <v>225.61</v>
      </c>
      <c r="G5" s="11"/>
      <c r="H5" s="11"/>
    </row>
    <row r="6" spans="1:9" s="4" customFormat="1" x14ac:dyDescent="0.35">
      <c r="G6" s="11"/>
      <c r="H6" s="11"/>
    </row>
    <row r="7" spans="1:9" s="4" customFormat="1" x14ac:dyDescent="0.35">
      <c r="G7" s="11"/>
      <c r="H7" s="11"/>
    </row>
    <row r="8" spans="1:9" s="4" customFormat="1" x14ac:dyDescent="0.35">
      <c r="E8" s="11"/>
      <c r="F8" s="11"/>
      <c r="G8" s="11"/>
      <c r="H8" s="11"/>
    </row>
    <row r="9" spans="1:9" s="4" customFormat="1" x14ac:dyDescent="0.35">
      <c r="E9" s="11"/>
      <c r="F9" s="11"/>
      <c r="G9" s="11"/>
      <c r="H9" s="11"/>
    </row>
    <row r="10" spans="1:9" s="4" customFormat="1" x14ac:dyDescent="0.35">
      <c r="E10" s="11"/>
      <c r="F10" s="11"/>
      <c r="G10" s="11"/>
      <c r="H10" s="11"/>
    </row>
    <row r="11" spans="1:9" s="4" customFormat="1" x14ac:dyDescent="0.35">
      <c r="E11" s="11"/>
      <c r="F11" s="11"/>
      <c r="G11" s="11"/>
      <c r="H11" s="11"/>
    </row>
    <row r="12" spans="1:9" s="4" customFormat="1" x14ac:dyDescent="0.35">
      <c r="E12" s="11"/>
      <c r="F12" s="11"/>
      <c r="G12" s="11"/>
      <c r="H12" s="11"/>
    </row>
    <row r="13" spans="1:9" s="4" customFormat="1" x14ac:dyDescent="0.35">
      <c r="E13" s="11"/>
      <c r="F13" s="11"/>
      <c r="G13" s="11"/>
      <c r="H13" s="11"/>
    </row>
    <row r="14" spans="1:9" s="4" customFormat="1" x14ac:dyDescent="0.35">
      <c r="E14" s="11"/>
      <c r="F14" s="11"/>
      <c r="G14" s="11"/>
      <c r="H14" s="11"/>
    </row>
    <row r="15" spans="1:9" s="4" customFormat="1" x14ac:dyDescent="0.35">
      <c r="E15" s="11"/>
      <c r="F15" s="11"/>
      <c r="G15" s="11"/>
      <c r="H15" s="11"/>
    </row>
    <row r="16" spans="1:9" s="4" customFormat="1" x14ac:dyDescent="0.35">
      <c r="E16" s="11"/>
      <c r="F16" s="11"/>
      <c r="G16" s="11"/>
      <c r="H16" s="11"/>
    </row>
    <row r="17" spans="5:8" s="4" customFormat="1" x14ac:dyDescent="0.35">
      <c r="E17" s="11"/>
      <c r="F17" s="11"/>
      <c r="G17" s="11"/>
      <c r="H17" s="11"/>
    </row>
    <row r="18" spans="5:8" s="4" customFormat="1" x14ac:dyDescent="0.35">
      <c r="E18" s="11"/>
      <c r="F18" s="11"/>
      <c r="G18" s="11"/>
      <c r="H18" s="11"/>
    </row>
    <row r="19" spans="5:8" s="4" customFormat="1" x14ac:dyDescent="0.35">
      <c r="E19" s="11"/>
      <c r="F19" s="11"/>
      <c r="G19" s="11"/>
      <c r="H19" s="11"/>
    </row>
    <row r="20" spans="5:8" s="4" customFormat="1" x14ac:dyDescent="0.35">
      <c r="E20" s="11"/>
      <c r="F20" s="11"/>
      <c r="G20" s="11"/>
      <c r="H20" s="11"/>
    </row>
    <row r="21" spans="5:8" s="4" customFormat="1" x14ac:dyDescent="0.35">
      <c r="E21" s="11"/>
      <c r="F21" s="11"/>
      <c r="G21" s="11"/>
      <c r="H21" s="11"/>
    </row>
    <row r="22" spans="5:8" s="4" customFormat="1" x14ac:dyDescent="0.35">
      <c r="E22" s="11"/>
      <c r="F22" s="11"/>
      <c r="G22" s="11"/>
      <c r="H22" s="11"/>
    </row>
    <row r="23" spans="5:8" s="4" customFormat="1" x14ac:dyDescent="0.35">
      <c r="E23" s="11"/>
      <c r="F23" s="11"/>
      <c r="G23" s="11"/>
      <c r="H23" s="11"/>
    </row>
    <row r="24" spans="5:8" s="4" customFormat="1" x14ac:dyDescent="0.35">
      <c r="E24" s="11"/>
      <c r="F24" s="11"/>
      <c r="G24" s="11"/>
      <c r="H24" s="11"/>
    </row>
    <row r="25" spans="5:8" s="4" customFormat="1" x14ac:dyDescent="0.35">
      <c r="E25" s="11"/>
      <c r="F25" s="11"/>
      <c r="G25" s="11"/>
      <c r="H25" s="11"/>
    </row>
    <row r="26" spans="5:8" s="4" customFormat="1" x14ac:dyDescent="0.35">
      <c r="E26" s="11"/>
      <c r="F26" s="11"/>
      <c r="G26" s="11"/>
      <c r="H26" s="11"/>
    </row>
    <row r="27" spans="5:8" s="4" customFormat="1" x14ac:dyDescent="0.35">
      <c r="E27" s="11"/>
      <c r="F27" s="11"/>
      <c r="G27" s="11"/>
      <c r="H27" s="11"/>
    </row>
    <row r="28" spans="5:8" s="4" customFormat="1" x14ac:dyDescent="0.35">
      <c r="E28" s="11"/>
      <c r="F28" s="11"/>
      <c r="G28" s="11"/>
      <c r="H28" s="11"/>
    </row>
    <row r="29" spans="5:8" s="4" customFormat="1" x14ac:dyDescent="0.35">
      <c r="E29" s="11"/>
      <c r="F29" s="11"/>
      <c r="G29" s="11"/>
      <c r="H29" s="11"/>
    </row>
    <row r="30" spans="5:8" s="4" customFormat="1" x14ac:dyDescent="0.35">
      <c r="E30" s="11"/>
      <c r="F30" s="11"/>
      <c r="G30" s="11"/>
      <c r="H30" s="11"/>
    </row>
    <row r="31" spans="5:8" s="4" customFormat="1" x14ac:dyDescent="0.35">
      <c r="E31" s="11"/>
      <c r="F31" s="11"/>
      <c r="G31" s="11"/>
      <c r="H31" s="11"/>
    </row>
    <row r="32" spans="5:8" s="4" customFormat="1" x14ac:dyDescent="0.35">
      <c r="E32" s="11"/>
      <c r="F32" s="11"/>
      <c r="G32" s="11"/>
      <c r="H32" s="11"/>
    </row>
    <row r="33" spans="5:8" s="4" customFormat="1" x14ac:dyDescent="0.35">
      <c r="E33" s="11"/>
      <c r="F33" s="11"/>
      <c r="G33" s="11"/>
      <c r="H33" s="11"/>
    </row>
    <row r="34" spans="5:8" s="4" customFormat="1" x14ac:dyDescent="0.35">
      <c r="E34" s="11"/>
      <c r="F34" s="11"/>
      <c r="G34" s="11"/>
      <c r="H34" s="11"/>
    </row>
    <row r="35" spans="5:8" s="4" customFormat="1" x14ac:dyDescent="0.35">
      <c r="E35" s="11"/>
      <c r="F35" s="11"/>
      <c r="G35" s="11"/>
      <c r="H35" s="11"/>
    </row>
    <row r="36" spans="5:8" s="4" customFormat="1" x14ac:dyDescent="0.35">
      <c r="E36" s="11"/>
      <c r="F36" s="11"/>
      <c r="G36" s="11"/>
      <c r="H36" s="11"/>
    </row>
    <row r="37" spans="5:8" s="4" customFormat="1" x14ac:dyDescent="0.35">
      <c r="E37" s="11"/>
      <c r="F37" s="11"/>
      <c r="G37" s="11"/>
      <c r="H37" s="11"/>
    </row>
    <row r="38" spans="5:8" s="4" customFormat="1" x14ac:dyDescent="0.35">
      <c r="E38" s="11"/>
      <c r="F38" s="11"/>
      <c r="G38" s="11"/>
      <c r="H38" s="11"/>
    </row>
    <row r="39" spans="5:8" s="4" customFormat="1" x14ac:dyDescent="0.35">
      <c r="E39" s="11"/>
      <c r="F39" s="11"/>
      <c r="G39" s="11"/>
      <c r="H39" s="11"/>
    </row>
    <row r="40" spans="5:8" s="4" customFormat="1" x14ac:dyDescent="0.35">
      <c r="E40" s="11"/>
      <c r="F40" s="11"/>
      <c r="G40" s="11"/>
      <c r="H40" s="11"/>
    </row>
    <row r="41" spans="5:8" s="4" customFormat="1" x14ac:dyDescent="0.35">
      <c r="E41" s="11"/>
      <c r="F41" s="11"/>
      <c r="G41" s="11"/>
      <c r="H41" s="11"/>
    </row>
    <row r="42" spans="5:8" s="4" customFormat="1" x14ac:dyDescent="0.35">
      <c r="E42" s="11"/>
      <c r="F42" s="11"/>
      <c r="G42" s="11"/>
      <c r="H42" s="11"/>
    </row>
    <row r="43" spans="5:8" s="4" customFormat="1" x14ac:dyDescent="0.35">
      <c r="E43" s="11"/>
      <c r="F43" s="11"/>
      <c r="G43" s="11"/>
      <c r="H43" s="11"/>
    </row>
    <row r="44" spans="5:8" s="4" customFormat="1" x14ac:dyDescent="0.35">
      <c r="E44" s="11"/>
      <c r="F44" s="11"/>
      <c r="G44" s="11"/>
      <c r="H44" s="11"/>
    </row>
    <row r="45" spans="5:8" s="4" customFormat="1" x14ac:dyDescent="0.35">
      <c r="E45" s="11"/>
      <c r="F45" s="11"/>
      <c r="G45" s="11"/>
      <c r="H45" s="11"/>
    </row>
    <row r="46" spans="5:8" s="4" customFormat="1" x14ac:dyDescent="0.35">
      <c r="E46" s="11"/>
      <c r="F46" s="11"/>
      <c r="G46" s="11"/>
      <c r="H46" s="11"/>
    </row>
    <row r="47" spans="5:8" s="4" customFormat="1" x14ac:dyDescent="0.35">
      <c r="E47" s="11"/>
      <c r="F47" s="11"/>
      <c r="G47" s="11"/>
      <c r="H47" s="11"/>
    </row>
    <row r="48" spans="5:8" s="4" customFormat="1" x14ac:dyDescent="0.35">
      <c r="E48" s="11"/>
      <c r="F48" s="11"/>
      <c r="G48" s="11"/>
      <c r="H48" s="11"/>
    </row>
    <row r="49" spans="5:8" s="4" customFormat="1" x14ac:dyDescent="0.35">
      <c r="E49" s="11"/>
      <c r="F49" s="11"/>
      <c r="G49" s="11"/>
      <c r="H49" s="11"/>
    </row>
    <row r="50" spans="5:8" s="4" customFormat="1" x14ac:dyDescent="0.35">
      <c r="E50" s="11"/>
      <c r="F50" s="11"/>
      <c r="G50" s="11"/>
      <c r="H50" s="11"/>
    </row>
    <row r="51" spans="5:8" s="4" customFormat="1" x14ac:dyDescent="0.35">
      <c r="E51" s="11"/>
      <c r="F51" s="11"/>
      <c r="G51" s="11"/>
      <c r="H51" s="11"/>
    </row>
    <row r="52" spans="5:8" s="4" customFormat="1" x14ac:dyDescent="0.35">
      <c r="E52" s="11"/>
      <c r="F52" s="11"/>
      <c r="G52" s="11"/>
      <c r="H52" s="11"/>
    </row>
    <row r="53" spans="5:8" s="4" customFormat="1" x14ac:dyDescent="0.35">
      <c r="E53" s="11"/>
      <c r="F53" s="11"/>
      <c r="G53" s="11"/>
      <c r="H53" s="11"/>
    </row>
    <row r="54" spans="5:8" s="4" customFormat="1" x14ac:dyDescent="0.35">
      <c r="E54" s="11"/>
      <c r="F54" s="11"/>
      <c r="G54" s="11"/>
      <c r="H54" s="11"/>
    </row>
    <row r="55" spans="5:8" s="4" customFormat="1" x14ac:dyDescent="0.35">
      <c r="E55" s="11"/>
      <c r="F55" s="11"/>
      <c r="G55" s="11"/>
      <c r="H55" s="11"/>
    </row>
    <row r="56" spans="5:8" s="4" customFormat="1" x14ac:dyDescent="0.35">
      <c r="E56" s="11"/>
      <c r="F56" s="11"/>
      <c r="G56" s="11"/>
      <c r="H56" s="11"/>
    </row>
    <row r="57" spans="5:8" s="4" customFormat="1" x14ac:dyDescent="0.35">
      <c r="E57" s="11"/>
      <c r="F57" s="11"/>
      <c r="G57" s="11"/>
      <c r="H57" s="11"/>
    </row>
    <row r="58" spans="5:8" s="4" customFormat="1" x14ac:dyDescent="0.35">
      <c r="E58" s="11"/>
      <c r="F58" s="11"/>
      <c r="G58" s="11"/>
      <c r="H58" s="11"/>
    </row>
    <row r="59" spans="5:8" s="4" customFormat="1" x14ac:dyDescent="0.35">
      <c r="E59" s="11"/>
      <c r="F59" s="11"/>
      <c r="G59" s="11"/>
      <c r="H59" s="11"/>
    </row>
    <row r="60" spans="5:8" s="4" customFormat="1" x14ac:dyDescent="0.35">
      <c r="E60" s="11"/>
      <c r="F60" s="11"/>
      <c r="G60" s="11"/>
      <c r="H60" s="11"/>
    </row>
    <row r="61" spans="5:8" s="4" customFormat="1" x14ac:dyDescent="0.35">
      <c r="E61" s="11"/>
      <c r="F61" s="11"/>
      <c r="G61" s="11"/>
      <c r="H61" s="11"/>
    </row>
    <row r="62" spans="5:8" s="4" customFormat="1" x14ac:dyDescent="0.35">
      <c r="E62" s="11"/>
      <c r="F62" s="11"/>
      <c r="G62" s="11"/>
      <c r="H62" s="11"/>
    </row>
    <row r="63" spans="5:8" s="4" customFormat="1" x14ac:dyDescent="0.35">
      <c r="E63" s="11"/>
      <c r="F63" s="11"/>
      <c r="G63" s="11"/>
      <c r="H63" s="11"/>
    </row>
    <row r="64" spans="5:8" s="4" customFormat="1" x14ac:dyDescent="0.35">
      <c r="E64" s="11"/>
      <c r="F64" s="11"/>
      <c r="G64" s="11"/>
      <c r="H64" s="11"/>
    </row>
    <row r="65" spans="5:8" s="4" customFormat="1" x14ac:dyDescent="0.35">
      <c r="E65" s="11"/>
      <c r="F65" s="11"/>
      <c r="G65" s="11"/>
      <c r="H65" s="11"/>
    </row>
    <row r="66" spans="5:8" s="4" customFormat="1" x14ac:dyDescent="0.35">
      <c r="E66" s="11"/>
      <c r="F66" s="11"/>
      <c r="G66" s="11"/>
      <c r="H66" s="11"/>
    </row>
    <row r="67" spans="5:8" s="4" customFormat="1" x14ac:dyDescent="0.35">
      <c r="E67" s="11"/>
      <c r="F67" s="11"/>
      <c r="G67" s="11"/>
      <c r="H67" s="11"/>
    </row>
    <row r="68" spans="5:8" s="4" customFormat="1" x14ac:dyDescent="0.35">
      <c r="E68" s="11"/>
      <c r="F68" s="11"/>
      <c r="G68" s="11"/>
      <c r="H68" s="11"/>
    </row>
    <row r="69" spans="5:8" s="4" customFormat="1" x14ac:dyDescent="0.35">
      <c r="E69" s="11"/>
      <c r="F69" s="11"/>
      <c r="G69" s="11"/>
      <c r="H69" s="11"/>
    </row>
    <row r="70" spans="5:8" s="4" customFormat="1" x14ac:dyDescent="0.35">
      <c r="E70" s="11"/>
      <c r="F70" s="11"/>
      <c r="G70" s="11"/>
      <c r="H70" s="11"/>
    </row>
    <row r="71" spans="5:8" s="4" customFormat="1" x14ac:dyDescent="0.35">
      <c r="E71" s="11"/>
      <c r="F71" s="11"/>
      <c r="G71" s="11"/>
      <c r="H71" s="11"/>
    </row>
    <row r="72" spans="5:8" s="4" customFormat="1" x14ac:dyDescent="0.35">
      <c r="E72" s="11"/>
      <c r="F72" s="11"/>
      <c r="G72" s="11"/>
      <c r="H72" s="11"/>
    </row>
    <row r="73" spans="5:8" s="4" customFormat="1" x14ac:dyDescent="0.35">
      <c r="E73" s="11"/>
      <c r="F73" s="11"/>
      <c r="G73" s="11"/>
      <c r="H73" s="11"/>
    </row>
    <row r="74" spans="5:8" s="4" customFormat="1" x14ac:dyDescent="0.35">
      <c r="E74" s="11"/>
      <c r="F74" s="11"/>
      <c r="G74" s="11"/>
      <c r="H74" s="11"/>
    </row>
    <row r="75" spans="5:8" s="4" customFormat="1" x14ac:dyDescent="0.35">
      <c r="E75" s="11"/>
      <c r="F75" s="11"/>
      <c r="G75" s="11"/>
      <c r="H75" s="11"/>
    </row>
    <row r="76" spans="5:8" s="4" customFormat="1" x14ac:dyDescent="0.35">
      <c r="E76" s="11"/>
      <c r="F76" s="11"/>
      <c r="G76" s="11"/>
      <c r="H76" s="11"/>
    </row>
    <row r="77" spans="5:8" s="4" customFormat="1" x14ac:dyDescent="0.35">
      <c r="E77" s="11"/>
      <c r="F77" s="11"/>
      <c r="G77" s="11"/>
      <c r="H77" s="11"/>
    </row>
    <row r="78" spans="5:8" s="4" customFormat="1" x14ac:dyDescent="0.35">
      <c r="E78" s="11"/>
      <c r="F78" s="11"/>
      <c r="G78" s="11"/>
      <c r="H78" s="11"/>
    </row>
    <row r="79" spans="5:8" s="4" customFormat="1" x14ac:dyDescent="0.35">
      <c r="E79" s="11"/>
      <c r="F79" s="11"/>
      <c r="G79" s="11"/>
      <c r="H79" s="11"/>
    </row>
    <row r="80" spans="5:8" s="4" customFormat="1" x14ac:dyDescent="0.35">
      <c r="E80" s="11"/>
      <c r="F80" s="11"/>
      <c r="G80" s="11"/>
      <c r="H80" s="11"/>
    </row>
    <row r="81" spans="5:8" s="4" customFormat="1" x14ac:dyDescent="0.35">
      <c r="E81" s="11"/>
      <c r="F81" s="11"/>
      <c r="G81" s="11"/>
      <c r="H81" s="11"/>
    </row>
    <row r="82" spans="5:8" s="4" customFormat="1" x14ac:dyDescent="0.35">
      <c r="E82" s="11"/>
      <c r="F82" s="11"/>
      <c r="G82" s="11"/>
      <c r="H82" s="11"/>
    </row>
    <row r="83" spans="5:8" s="4" customFormat="1" x14ac:dyDescent="0.35">
      <c r="E83" s="11"/>
      <c r="F83" s="11"/>
      <c r="G83" s="11"/>
      <c r="H83" s="11"/>
    </row>
    <row r="84" spans="5:8" s="4" customFormat="1" x14ac:dyDescent="0.35">
      <c r="E84" s="11"/>
      <c r="F84" s="11"/>
      <c r="G84" s="11"/>
      <c r="H84" s="11"/>
    </row>
    <row r="85" spans="5:8" s="4" customFormat="1" x14ac:dyDescent="0.35">
      <c r="E85" s="11"/>
      <c r="F85" s="11"/>
      <c r="G85" s="11"/>
      <c r="H85" s="11"/>
    </row>
    <row r="86" spans="5:8" s="4" customFormat="1" x14ac:dyDescent="0.35">
      <c r="E86" s="11"/>
      <c r="F86" s="11"/>
      <c r="G86" s="11"/>
      <c r="H86" s="11"/>
    </row>
    <row r="87" spans="5:8" s="4" customFormat="1" x14ac:dyDescent="0.35">
      <c r="E87" s="11"/>
      <c r="F87" s="11"/>
      <c r="G87" s="11"/>
      <c r="H87" s="11"/>
    </row>
    <row r="88" spans="5:8" s="4" customFormat="1" x14ac:dyDescent="0.35">
      <c r="E88" s="11"/>
      <c r="F88" s="11"/>
      <c r="G88" s="11"/>
      <c r="H88" s="11"/>
    </row>
    <row r="89" spans="5:8" s="4" customFormat="1" x14ac:dyDescent="0.35">
      <c r="E89" s="11"/>
      <c r="F89" s="11"/>
      <c r="G89" s="11"/>
      <c r="H89" s="11"/>
    </row>
    <row r="90" spans="5:8" s="4" customFormat="1" x14ac:dyDescent="0.35">
      <c r="E90" s="11"/>
      <c r="F90" s="11"/>
      <c r="G90" s="11"/>
      <c r="H90" s="11"/>
    </row>
  </sheetData>
  <autoFilter ref="A1:I4" xr:uid="{00000000-0009-0000-0000-000000000000}"/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2"/>
  <sheetViews>
    <sheetView topLeftCell="A4" workbookViewId="0">
      <selection activeCell="D17" sqref="D17"/>
    </sheetView>
  </sheetViews>
  <sheetFormatPr baseColWidth="10" defaultRowHeight="14.5" x14ac:dyDescent="0.35"/>
  <cols>
    <col min="4" max="4" width="11.90625" bestFit="1" customWidth="1"/>
  </cols>
  <sheetData>
    <row r="1" spans="1:14" x14ac:dyDescent="0.35">
      <c r="B1" t="s">
        <v>3</v>
      </c>
      <c r="C1" t="s">
        <v>18</v>
      </c>
      <c r="D1" t="s">
        <v>19</v>
      </c>
      <c r="E1" t="s">
        <v>70</v>
      </c>
      <c r="F1" t="s">
        <v>20</v>
      </c>
    </row>
    <row r="2" spans="1:14" x14ac:dyDescent="0.35">
      <c r="A2" s="2">
        <v>42767</v>
      </c>
      <c r="B2" s="6">
        <v>23.72</v>
      </c>
      <c r="C2" s="6">
        <v>23.72</v>
      </c>
      <c r="D2" s="6"/>
      <c r="E2" s="6"/>
      <c r="F2" s="6"/>
      <c r="H2" s="6"/>
      <c r="I2" s="6"/>
      <c r="J2" s="6"/>
      <c r="K2" s="6"/>
      <c r="L2" s="6"/>
      <c r="M2" s="6"/>
      <c r="N2" s="6"/>
    </row>
    <row r="3" spans="1:14" x14ac:dyDescent="0.35">
      <c r="A3" s="2">
        <v>42767</v>
      </c>
      <c r="B3" s="6">
        <v>75.540000000000006</v>
      </c>
      <c r="C3" s="6"/>
      <c r="D3" s="6">
        <f>+B3</f>
        <v>75.540000000000006</v>
      </c>
      <c r="E3" s="6"/>
      <c r="F3" s="6"/>
      <c r="H3" s="6"/>
      <c r="I3" s="6"/>
      <c r="J3" s="6"/>
      <c r="K3" s="6"/>
      <c r="L3" s="6"/>
      <c r="M3" s="6"/>
      <c r="N3" s="6"/>
    </row>
    <row r="4" spans="1:14" x14ac:dyDescent="0.35">
      <c r="A4" s="2">
        <v>42768</v>
      </c>
      <c r="B4" s="6">
        <v>2.1</v>
      </c>
      <c r="C4" s="6"/>
      <c r="D4" s="6"/>
      <c r="E4" s="6"/>
      <c r="F4" s="6">
        <f>+B4</f>
        <v>2.1</v>
      </c>
      <c r="H4" s="6"/>
      <c r="I4" s="6"/>
      <c r="J4" s="6"/>
      <c r="K4" s="6"/>
      <c r="L4" s="6"/>
      <c r="M4" s="6"/>
      <c r="N4" s="6"/>
    </row>
    <row r="5" spans="1:14" x14ac:dyDescent="0.35">
      <c r="A5" s="2">
        <v>42856</v>
      </c>
      <c r="B5" s="6">
        <f>SUM(C5:E5)</f>
        <v>225.62700000000001</v>
      </c>
      <c r="C5" s="6">
        <v>57.55</v>
      </c>
      <c r="D5" s="6">
        <f>(20.5+22.95+25.22)*1.1</f>
        <v>75.537000000000006</v>
      </c>
      <c r="E5" s="6">
        <f>46.27*2</f>
        <v>92.54</v>
      </c>
      <c r="F5" s="6"/>
      <c r="H5" s="6"/>
      <c r="I5" s="6"/>
      <c r="J5" s="6"/>
      <c r="K5" s="6"/>
      <c r="L5" s="6"/>
      <c r="M5" s="6"/>
      <c r="N5" s="6"/>
    </row>
    <row r="6" spans="1:14" x14ac:dyDescent="0.35">
      <c r="A6" s="2">
        <v>42948</v>
      </c>
      <c r="B6" s="6">
        <f>SUM(D6:E6)+C6</f>
        <v>162.43700000000001</v>
      </c>
      <c r="C6" s="6">
        <v>40.630000000000003</v>
      </c>
      <c r="D6" s="6">
        <f>(20.5+22.95+25.22)*1.1</f>
        <v>75.537000000000006</v>
      </c>
      <c r="E6" s="6">
        <v>46.27</v>
      </c>
      <c r="F6" s="6"/>
      <c r="H6" s="6"/>
      <c r="I6" s="6"/>
      <c r="J6" s="6"/>
      <c r="K6" s="6"/>
      <c r="L6" s="6"/>
      <c r="M6" s="6"/>
      <c r="N6" s="6"/>
    </row>
    <row r="7" spans="1:14" x14ac:dyDescent="0.35">
      <c r="A7" s="2">
        <v>43033</v>
      </c>
      <c r="B7" s="6">
        <f t="shared" ref="B7:B11" si="0">SUM(D7:E7)+C7</f>
        <v>0</v>
      </c>
      <c r="F7" s="6">
        <v>16.399999999999999</v>
      </c>
      <c r="G7" s="6"/>
      <c r="H7" s="6"/>
      <c r="I7" s="6"/>
      <c r="J7" s="6"/>
      <c r="K7" s="6"/>
      <c r="L7" s="6"/>
      <c r="M7" s="6"/>
      <c r="N7" s="6"/>
    </row>
    <row r="8" spans="1:14" x14ac:dyDescent="0.35">
      <c r="A8" s="2">
        <v>43033</v>
      </c>
      <c r="B8" s="6">
        <f t="shared" si="0"/>
        <v>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5">
      <c r="A9" s="2">
        <v>43040</v>
      </c>
      <c r="B9" s="6">
        <f t="shared" si="0"/>
        <v>207.97</v>
      </c>
      <c r="C9" s="6">
        <v>86.16</v>
      </c>
      <c r="D9" s="6">
        <f>121.81-E9</f>
        <v>75.539999999999992</v>
      </c>
      <c r="E9" s="6">
        <v>46.27</v>
      </c>
      <c r="F9" s="6"/>
      <c r="G9" s="6"/>
      <c r="H9" s="6"/>
      <c r="I9" s="6"/>
      <c r="J9" s="6"/>
      <c r="K9" s="6"/>
      <c r="L9" s="6"/>
      <c r="M9" s="6"/>
      <c r="N9" s="6"/>
    </row>
    <row r="10" spans="1:14" x14ac:dyDescent="0.35">
      <c r="A10" s="2">
        <v>43132</v>
      </c>
      <c r="B10" s="6">
        <f t="shared" si="0"/>
        <v>175.58</v>
      </c>
      <c r="C10" s="6">
        <v>52.5</v>
      </c>
      <c r="D10" s="6">
        <f>20.5+23.5+25.83+6.98</f>
        <v>76.81</v>
      </c>
      <c r="E10" s="6">
        <v>46.27</v>
      </c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5">
      <c r="A11" s="2">
        <v>43221</v>
      </c>
      <c r="B11" s="6">
        <f t="shared" si="0"/>
        <v>175.58</v>
      </c>
      <c r="C11" s="6">
        <v>52.5</v>
      </c>
      <c r="D11" s="6">
        <f>7.5+23.5+25.83+6.98+13</f>
        <v>76.81</v>
      </c>
      <c r="E11" s="6">
        <v>46.27</v>
      </c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5">
      <c r="A12" s="2">
        <v>43313</v>
      </c>
      <c r="B12" s="6">
        <f>SUM(D12:E12)+C12</f>
        <v>175.583</v>
      </c>
      <c r="C12" s="6">
        <v>52.5</v>
      </c>
      <c r="D12" s="6">
        <f>(7.5+13+23.5+25.83)*1.1</f>
        <v>76.813000000000002</v>
      </c>
      <c r="E12" s="6">
        <v>46.27</v>
      </c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5">
      <c r="A13" s="2">
        <v>43405</v>
      </c>
      <c r="B13" s="6">
        <f t="shared" ref="B13:B17" si="1">SUM(D13:E13)+C13</f>
        <v>197.453</v>
      </c>
      <c r="C13" s="6">
        <v>74.37</v>
      </c>
      <c r="D13" s="6">
        <f>(7.5+13+23.5+25.83)*1.1</f>
        <v>76.813000000000002</v>
      </c>
      <c r="E13" s="6">
        <v>46.27</v>
      </c>
      <c r="F13" s="6"/>
      <c r="G13" s="6">
        <f>SUM(D13:E13)</f>
        <v>123.083</v>
      </c>
      <c r="H13" s="6"/>
      <c r="I13" s="6"/>
      <c r="J13" s="6"/>
      <c r="K13" s="6"/>
      <c r="L13" s="6"/>
      <c r="M13" s="6"/>
      <c r="N13" s="6"/>
    </row>
    <row r="14" spans="1:14" x14ac:dyDescent="0.35">
      <c r="A14" s="2">
        <v>43497</v>
      </c>
      <c r="B14" s="6">
        <f t="shared" si="1"/>
        <v>182.762</v>
      </c>
      <c r="C14" s="6">
        <v>58.59</v>
      </c>
      <c r="D14" s="6">
        <f>(7.5+13+23.97+26.35)*1.1</f>
        <v>77.902000000000001</v>
      </c>
      <c r="E14" s="6">
        <v>46.27</v>
      </c>
      <c r="F14" s="6"/>
      <c r="G14" s="6">
        <f>SUM(D14:E14)</f>
        <v>124.172</v>
      </c>
      <c r="H14" s="6"/>
      <c r="I14" s="6"/>
      <c r="J14" s="6"/>
      <c r="K14" s="6"/>
      <c r="L14" s="6"/>
      <c r="M14" s="6"/>
      <c r="N14" s="6"/>
    </row>
    <row r="15" spans="1:14" x14ac:dyDescent="0.35">
      <c r="A15" s="2">
        <v>43586</v>
      </c>
      <c r="B15" s="6">
        <f t="shared" si="1"/>
        <v>183.762</v>
      </c>
      <c r="C15" s="6">
        <v>59.59</v>
      </c>
      <c r="D15" s="6">
        <f>(7.5+13+23.97+26.35)*1.1</f>
        <v>77.902000000000001</v>
      </c>
      <c r="E15" s="6">
        <v>46.27</v>
      </c>
      <c r="F15" s="6"/>
      <c r="G15" s="6">
        <f>SUM(D15:E15)</f>
        <v>124.172</v>
      </c>
      <c r="H15" s="6"/>
      <c r="I15" s="6"/>
      <c r="J15" s="6"/>
      <c r="K15" s="6"/>
      <c r="L15" s="6"/>
      <c r="M15" s="6"/>
      <c r="N15" s="6"/>
    </row>
    <row r="16" spans="1:14" x14ac:dyDescent="0.35">
      <c r="A16" s="2">
        <v>43678</v>
      </c>
      <c r="B16" s="6">
        <f t="shared" si="1"/>
        <v>182.762</v>
      </c>
      <c r="C16" s="6">
        <v>58.59</v>
      </c>
      <c r="D16" s="6">
        <f t="shared" ref="D16:D17" si="2">(7.5+13+23.97+26.35)*1.1</f>
        <v>77.902000000000001</v>
      </c>
      <c r="E16" s="6">
        <v>46.27</v>
      </c>
      <c r="F16" s="6"/>
      <c r="G16" s="6">
        <f t="shared" ref="G16:G17" si="3">SUM(D16:E16)</f>
        <v>124.172</v>
      </c>
      <c r="H16" s="6"/>
      <c r="I16" s="6"/>
      <c r="J16" s="6"/>
      <c r="K16" s="6"/>
      <c r="L16" s="6"/>
      <c r="M16" s="6"/>
      <c r="N16" s="6"/>
    </row>
    <row r="17" spans="1:14" x14ac:dyDescent="0.35">
      <c r="A17" s="2">
        <v>43770</v>
      </c>
      <c r="B17" s="6">
        <f t="shared" si="1"/>
        <v>179.66200000000001</v>
      </c>
      <c r="C17" s="6">
        <v>55.49</v>
      </c>
      <c r="D17" s="6">
        <f t="shared" si="2"/>
        <v>77.902000000000001</v>
      </c>
      <c r="E17" s="6">
        <v>46.27</v>
      </c>
      <c r="F17" s="6"/>
      <c r="G17" s="6">
        <f t="shared" si="3"/>
        <v>124.172</v>
      </c>
      <c r="H17" s="6"/>
      <c r="I17" s="6"/>
      <c r="J17" s="6"/>
      <c r="K17" s="6"/>
      <c r="L17" s="6"/>
      <c r="M17" s="6"/>
      <c r="N17" s="6"/>
    </row>
    <row r="18" spans="1:14" x14ac:dyDescent="0.35">
      <c r="B18" s="6"/>
      <c r="C18" s="6"/>
      <c r="D18" s="6"/>
      <c r="E18" s="6">
        <v>46.27</v>
      </c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35">
      <c r="B19" s="6"/>
      <c r="C19" s="6"/>
      <c r="D19" s="6"/>
      <c r="E19" s="6">
        <v>46.27</v>
      </c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3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3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3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3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3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3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3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3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3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3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3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3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2:14" x14ac:dyDescent="0.3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2:14" x14ac:dyDescent="0.3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2:14" x14ac:dyDescent="0.3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2:14" x14ac:dyDescent="0.3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2:14" x14ac:dyDescent="0.3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2:14" x14ac:dyDescent="0.3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2:14" x14ac:dyDescent="0.3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2:14" x14ac:dyDescent="0.3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2:14" x14ac:dyDescent="0.3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2:14" x14ac:dyDescent="0.3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2:14" x14ac:dyDescent="0.3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2:14" x14ac:dyDescent="0.3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2:14" x14ac:dyDescent="0.3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2:14" x14ac:dyDescent="0.3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2:14" x14ac:dyDescent="0.3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2:14" x14ac:dyDescent="0.3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2:14" x14ac:dyDescent="0.3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2:14" x14ac:dyDescent="0.3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2:14" x14ac:dyDescent="0.3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2:14" x14ac:dyDescent="0.3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2:14" x14ac:dyDescent="0.3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2:14" x14ac:dyDescent="0.3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2:14" x14ac:dyDescent="0.3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2:14" x14ac:dyDescent="0.3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2:14" x14ac:dyDescent="0.3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2:14" x14ac:dyDescent="0.3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2:14" x14ac:dyDescent="0.3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2:14" x14ac:dyDescent="0.3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2:14" x14ac:dyDescent="0.3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2:14" x14ac:dyDescent="0.3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2:14" x14ac:dyDescent="0.3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2:14" x14ac:dyDescent="0.3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2:14" x14ac:dyDescent="0.3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2:14" x14ac:dyDescent="0.3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2:14" x14ac:dyDescent="0.3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2:14" x14ac:dyDescent="0.3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2:14" x14ac:dyDescent="0.3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2:14" x14ac:dyDescent="0.3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2:14" x14ac:dyDescent="0.3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2:14" x14ac:dyDescent="0.3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2:14" x14ac:dyDescent="0.3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2:14" x14ac:dyDescent="0.3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2:14" x14ac:dyDescent="0.3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2:14" x14ac:dyDescent="0.3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2:14" x14ac:dyDescent="0.3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2:14" x14ac:dyDescent="0.3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2:14" x14ac:dyDescent="0.3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2:14" x14ac:dyDescent="0.3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2:14" x14ac:dyDescent="0.3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2:14" x14ac:dyDescent="0.3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2:14" x14ac:dyDescent="0.3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2:14" x14ac:dyDescent="0.3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2:14" x14ac:dyDescent="0.3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2:14" x14ac:dyDescent="0.3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2:14" x14ac:dyDescent="0.3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2:14" x14ac:dyDescent="0.3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2:14" x14ac:dyDescent="0.3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2:14" x14ac:dyDescent="0.3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2:14" x14ac:dyDescent="0.3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2:14" x14ac:dyDescent="0.3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2:14" x14ac:dyDescent="0.3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2:14" x14ac:dyDescent="0.3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2:14" x14ac:dyDescent="0.3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2:14" x14ac:dyDescent="0.3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2:14" x14ac:dyDescent="0.3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2:14" x14ac:dyDescent="0.3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2:14" x14ac:dyDescent="0.3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2:14" x14ac:dyDescent="0.3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2:14" x14ac:dyDescent="0.3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2:14" x14ac:dyDescent="0.3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2:14" x14ac:dyDescent="0.3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2:14" x14ac:dyDescent="0.3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2:14" x14ac:dyDescent="0.3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2:14" x14ac:dyDescent="0.3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2:14" x14ac:dyDescent="0.3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2:14" x14ac:dyDescent="0.3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2:14" x14ac:dyDescent="0.3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2:14" x14ac:dyDescent="0.3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2:14" x14ac:dyDescent="0.3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2:14" x14ac:dyDescent="0.3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2:14" x14ac:dyDescent="0.3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2:14" x14ac:dyDescent="0.3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2:14" x14ac:dyDescent="0.3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2:14" x14ac:dyDescent="0.3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2:14" x14ac:dyDescent="0.3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2:14" x14ac:dyDescent="0.3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2:14" x14ac:dyDescent="0.3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2:14" x14ac:dyDescent="0.3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2:14" x14ac:dyDescent="0.3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2:14" x14ac:dyDescent="0.3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2:14" x14ac:dyDescent="0.3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2:14" x14ac:dyDescent="0.3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2:14" x14ac:dyDescent="0.3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3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2:14" x14ac:dyDescent="0.3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2:14" x14ac:dyDescent="0.3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2:14" x14ac:dyDescent="0.3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2:14" x14ac:dyDescent="0.3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2:14" x14ac:dyDescent="0.3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2:14" x14ac:dyDescent="0.3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2:14" x14ac:dyDescent="0.3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2:14" x14ac:dyDescent="0.3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2:14" x14ac:dyDescent="0.3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2:14" x14ac:dyDescent="0.3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2:14" x14ac:dyDescent="0.3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2:14" x14ac:dyDescent="0.3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2:14" x14ac:dyDescent="0.3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2:14" x14ac:dyDescent="0.3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2:14" x14ac:dyDescent="0.3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2:14" x14ac:dyDescent="0.3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2:14" x14ac:dyDescent="0.3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2:14" x14ac:dyDescent="0.3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2:14" x14ac:dyDescent="0.3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2:14" x14ac:dyDescent="0.3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2:14" x14ac:dyDescent="0.3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2:14" x14ac:dyDescent="0.3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2:14" x14ac:dyDescent="0.3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2:14" x14ac:dyDescent="0.3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2:14" x14ac:dyDescent="0.3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2:14" x14ac:dyDescent="0.3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2:14" x14ac:dyDescent="0.3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2:14" x14ac:dyDescent="0.3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2:14" x14ac:dyDescent="0.3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2:14" x14ac:dyDescent="0.3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2:14" x14ac:dyDescent="0.3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2:14" x14ac:dyDescent="0.3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2:14" x14ac:dyDescent="0.3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2:14" x14ac:dyDescent="0.3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2:14" x14ac:dyDescent="0.3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2:14" x14ac:dyDescent="0.3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2:14" x14ac:dyDescent="0.3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2:14" x14ac:dyDescent="0.3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2:14" x14ac:dyDescent="0.3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2:14" x14ac:dyDescent="0.3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2:14" x14ac:dyDescent="0.3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2:14" x14ac:dyDescent="0.3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2:14" x14ac:dyDescent="0.3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2:14" x14ac:dyDescent="0.3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2:14" x14ac:dyDescent="0.3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2:14" x14ac:dyDescent="0.3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2:14" x14ac:dyDescent="0.3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2:14" x14ac:dyDescent="0.3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2:14" x14ac:dyDescent="0.3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2:14" x14ac:dyDescent="0.3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2:14" x14ac:dyDescent="0.3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2:14" x14ac:dyDescent="0.3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2:14" x14ac:dyDescent="0.3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2:14" x14ac:dyDescent="0.3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2:14" x14ac:dyDescent="0.3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2:14" x14ac:dyDescent="0.3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2:14" x14ac:dyDescent="0.3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2:14" x14ac:dyDescent="0.3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2:14" x14ac:dyDescent="0.3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2:14" x14ac:dyDescent="0.3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2:14" x14ac:dyDescent="0.3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2:14" x14ac:dyDescent="0.3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2:14" x14ac:dyDescent="0.3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2:14" x14ac:dyDescent="0.3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2:14" x14ac:dyDescent="0.3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2:14" x14ac:dyDescent="0.3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2:14" x14ac:dyDescent="0.3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2:14" x14ac:dyDescent="0.3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2:14" x14ac:dyDescent="0.3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2:14" x14ac:dyDescent="0.3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2:14" x14ac:dyDescent="0.3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2:14" x14ac:dyDescent="0.3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2:14" x14ac:dyDescent="0.3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2:14" x14ac:dyDescent="0.3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2:14" x14ac:dyDescent="0.3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2:14" x14ac:dyDescent="0.3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2:14" x14ac:dyDescent="0.3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2:14" x14ac:dyDescent="0.3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2:14" x14ac:dyDescent="0.3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2:14" x14ac:dyDescent="0.3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2:14" x14ac:dyDescent="0.3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2:14" x14ac:dyDescent="0.3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2:14" x14ac:dyDescent="0.35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2:14" x14ac:dyDescent="0.35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2:14" x14ac:dyDescent="0.35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2:14" x14ac:dyDescent="0.35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2:14" x14ac:dyDescent="0.35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2:14" x14ac:dyDescent="0.35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2:14" x14ac:dyDescent="0.3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2:14" x14ac:dyDescent="0.35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2:14" x14ac:dyDescent="0.35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2:14" x14ac:dyDescent="0.35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2:14" x14ac:dyDescent="0.35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2:14" x14ac:dyDescent="0.35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2:14" x14ac:dyDescent="0.35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2:14" x14ac:dyDescent="0.35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2:14" x14ac:dyDescent="0.35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2:14" x14ac:dyDescent="0.35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2:14" x14ac:dyDescent="0.3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2:14" x14ac:dyDescent="0.35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2:14" x14ac:dyDescent="0.35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2:14" x14ac:dyDescent="0.35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2:14" x14ac:dyDescent="0.35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2:14" x14ac:dyDescent="0.35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2:14" x14ac:dyDescent="0.35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2:14" x14ac:dyDescent="0.35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1"/>
  <sheetViews>
    <sheetView workbookViewId="0">
      <selection activeCell="K2" sqref="K2"/>
    </sheetView>
  </sheetViews>
  <sheetFormatPr baseColWidth="10" defaultRowHeight="14.5" x14ac:dyDescent="0.35"/>
  <cols>
    <col min="2" max="2" width="16.453125" customWidth="1"/>
    <col min="3" max="3" width="9.08984375" customWidth="1"/>
    <col min="4" max="4" width="8.7265625" customWidth="1"/>
    <col min="5" max="5" width="10.1796875" customWidth="1"/>
    <col min="6" max="6" width="11.453125" customWidth="1"/>
    <col min="7" max="7" width="7" customWidth="1"/>
    <col min="8" max="8" width="7.81640625" bestFit="1" customWidth="1"/>
    <col min="9" max="9" width="5.26953125" customWidth="1"/>
    <col min="10" max="10" width="13.26953125" customWidth="1"/>
  </cols>
  <sheetData>
    <row r="1" spans="1:10" x14ac:dyDescent="0.35">
      <c r="A1" s="47" t="s">
        <v>63</v>
      </c>
      <c r="B1" s="47"/>
      <c r="C1" s="47"/>
      <c r="D1" s="47"/>
      <c r="E1" s="47"/>
      <c r="F1" s="47"/>
      <c r="G1" s="47"/>
      <c r="H1" s="47"/>
    </row>
    <row r="2" spans="1:10" s="5" customFormat="1" ht="29" x14ac:dyDescent="0.35">
      <c r="A2" s="5" t="s">
        <v>0</v>
      </c>
      <c r="B2" s="5" t="s">
        <v>21</v>
      </c>
      <c r="C2" s="5" t="s">
        <v>62</v>
      </c>
      <c r="D2" s="5" t="s">
        <v>61</v>
      </c>
      <c r="E2" s="5" t="s">
        <v>22</v>
      </c>
      <c r="F2" s="5" t="s">
        <v>23</v>
      </c>
      <c r="G2" s="5" t="s">
        <v>25</v>
      </c>
      <c r="H2" s="5" t="s">
        <v>26</v>
      </c>
    </row>
    <row r="3" spans="1:10" s="5" customFormat="1" x14ac:dyDescent="0.35">
      <c r="A3" s="7">
        <v>42790</v>
      </c>
      <c r="B3" s="5" t="s">
        <v>24</v>
      </c>
      <c r="C3" s="8">
        <v>86.35</v>
      </c>
      <c r="D3" s="8">
        <v>92.78</v>
      </c>
      <c r="E3" s="8">
        <v>56.83</v>
      </c>
      <c r="F3" s="8">
        <v>1.03</v>
      </c>
      <c r="G3" s="8">
        <v>156</v>
      </c>
      <c r="H3" s="18">
        <v>129.01</v>
      </c>
    </row>
    <row r="4" spans="1:10" s="5" customFormat="1" x14ac:dyDescent="0.35">
      <c r="A4" s="7">
        <v>43145</v>
      </c>
      <c r="B4" s="5" t="s">
        <v>127</v>
      </c>
      <c r="C4" s="8">
        <v>93.18</v>
      </c>
      <c r="D4" s="8">
        <v>217.96</v>
      </c>
      <c r="E4" s="5">
        <v>124.14</v>
      </c>
      <c r="F4" s="8">
        <v>3.59</v>
      </c>
      <c r="G4" s="8">
        <v>113.03</v>
      </c>
      <c r="H4" s="18">
        <v>313.27999999999997</v>
      </c>
    </row>
    <row r="5" spans="1:10" s="5" customFormat="1" ht="29" x14ac:dyDescent="0.35">
      <c r="A5" s="7">
        <v>43508</v>
      </c>
      <c r="B5" s="5" t="s">
        <v>156</v>
      </c>
      <c r="C5" s="8">
        <v>658.55</v>
      </c>
      <c r="D5" s="8">
        <v>669.35</v>
      </c>
      <c r="E5" s="8">
        <v>326.58</v>
      </c>
      <c r="F5" s="8">
        <v>3.59</v>
      </c>
      <c r="G5" s="8">
        <v>342.72</v>
      </c>
      <c r="H5" s="18">
        <v>1410.61</v>
      </c>
      <c r="J5" s="5" t="s">
        <v>157</v>
      </c>
    </row>
    <row r="6" spans="1:10" s="5" customFormat="1" x14ac:dyDescent="0.35">
      <c r="C6" s="8"/>
      <c r="D6" s="8"/>
      <c r="E6" s="8"/>
      <c r="F6" s="8"/>
      <c r="G6" s="8"/>
      <c r="H6" s="18"/>
    </row>
    <row r="7" spans="1:10" s="5" customFormat="1" x14ac:dyDescent="0.35">
      <c r="C7" s="8"/>
      <c r="D7" s="8"/>
      <c r="E7" s="8"/>
      <c r="F7" s="8"/>
      <c r="G7" s="8"/>
      <c r="H7" s="18"/>
    </row>
    <row r="8" spans="1:10" s="5" customFormat="1" x14ac:dyDescent="0.35">
      <c r="C8" s="8"/>
      <c r="D8" s="8"/>
      <c r="E8" s="8"/>
      <c r="F8" s="8"/>
      <c r="G8" s="8"/>
      <c r="H8" s="18"/>
    </row>
    <row r="9" spans="1:10" s="5" customFormat="1" x14ac:dyDescent="0.35">
      <c r="C9" s="8"/>
      <c r="D9" s="8"/>
      <c r="E9" s="8"/>
      <c r="F9" s="8"/>
      <c r="G9" s="8"/>
      <c r="H9" s="18"/>
    </row>
    <row r="10" spans="1:10" s="5" customFormat="1" x14ac:dyDescent="0.35">
      <c r="C10" s="8"/>
      <c r="D10" s="8"/>
      <c r="E10" s="8"/>
      <c r="F10" s="8"/>
      <c r="G10" s="8"/>
      <c r="H10" s="18"/>
    </row>
    <row r="11" spans="1:10" s="5" customFormat="1" x14ac:dyDescent="0.35">
      <c r="C11" s="8"/>
      <c r="D11" s="8"/>
      <c r="E11" s="8"/>
      <c r="F11" s="8"/>
      <c r="G11" s="8"/>
      <c r="H11" s="8"/>
    </row>
    <row r="12" spans="1:10" s="5" customFormat="1" x14ac:dyDescent="0.35">
      <c r="C12" s="8"/>
      <c r="D12" s="8"/>
      <c r="E12" s="8"/>
      <c r="F12" s="8"/>
      <c r="G12" s="8"/>
      <c r="H12" s="8"/>
    </row>
    <row r="13" spans="1:10" s="5" customFormat="1" x14ac:dyDescent="0.35">
      <c r="C13" s="8"/>
      <c r="D13" s="8"/>
      <c r="E13" s="8"/>
      <c r="F13" s="8"/>
      <c r="G13" s="8"/>
      <c r="H13" s="8"/>
    </row>
    <row r="14" spans="1:10" s="5" customFormat="1" x14ac:dyDescent="0.35">
      <c r="C14" s="8"/>
      <c r="D14" s="8"/>
      <c r="E14" s="8"/>
      <c r="F14" s="8"/>
      <c r="G14" s="8"/>
      <c r="H14" s="8"/>
    </row>
    <row r="15" spans="1:10" s="5" customFormat="1" x14ac:dyDescent="0.35">
      <c r="C15" s="8"/>
      <c r="D15" s="8"/>
      <c r="E15" s="8"/>
      <c r="F15" s="8"/>
      <c r="G15" s="8"/>
      <c r="H15" s="8"/>
    </row>
    <row r="16" spans="1:10" s="5" customFormat="1" x14ac:dyDescent="0.35">
      <c r="C16" s="8"/>
      <c r="D16" s="8"/>
      <c r="E16" s="8"/>
      <c r="F16" s="8"/>
      <c r="G16" s="8"/>
      <c r="H16" s="8"/>
    </row>
    <row r="17" spans="3:8" s="5" customFormat="1" x14ac:dyDescent="0.35">
      <c r="C17" s="8"/>
      <c r="D17" s="8"/>
      <c r="E17" s="8"/>
      <c r="F17" s="8"/>
      <c r="G17" s="8"/>
      <c r="H17" s="8"/>
    </row>
    <row r="18" spans="3:8" s="5" customFormat="1" x14ac:dyDescent="0.35">
      <c r="C18" s="8"/>
      <c r="D18" s="8"/>
      <c r="E18" s="8"/>
      <c r="F18" s="8"/>
      <c r="G18" s="8"/>
      <c r="H18" s="8"/>
    </row>
    <row r="19" spans="3:8" s="5" customFormat="1" x14ac:dyDescent="0.35">
      <c r="C19" s="8"/>
      <c r="D19" s="8"/>
      <c r="E19" s="8"/>
      <c r="F19" s="8"/>
      <c r="G19" s="8"/>
      <c r="H19" s="8"/>
    </row>
    <row r="20" spans="3:8" s="5" customFormat="1" x14ac:dyDescent="0.35">
      <c r="C20" s="8"/>
      <c r="D20" s="8"/>
      <c r="E20" s="8"/>
      <c r="F20" s="8"/>
      <c r="G20" s="8"/>
      <c r="H20" s="8"/>
    </row>
    <row r="21" spans="3:8" s="5" customFormat="1" x14ac:dyDescent="0.35">
      <c r="C21" s="8"/>
      <c r="D21" s="8"/>
      <c r="E21" s="8"/>
      <c r="F21" s="8"/>
      <c r="G21" s="8"/>
      <c r="H21" s="8"/>
    </row>
    <row r="22" spans="3:8" s="5" customFormat="1" x14ac:dyDescent="0.35">
      <c r="C22" s="8"/>
      <c r="D22" s="8"/>
      <c r="E22" s="8"/>
      <c r="F22" s="8"/>
      <c r="G22" s="8"/>
      <c r="H22" s="8"/>
    </row>
    <row r="23" spans="3:8" s="5" customFormat="1" x14ac:dyDescent="0.35">
      <c r="C23" s="8"/>
      <c r="D23" s="8"/>
      <c r="E23" s="8"/>
      <c r="F23" s="8"/>
      <c r="G23" s="8"/>
      <c r="H23" s="8"/>
    </row>
    <row r="24" spans="3:8" s="5" customFormat="1" x14ac:dyDescent="0.35">
      <c r="C24" s="8"/>
      <c r="D24" s="8"/>
      <c r="E24" s="8"/>
      <c r="F24" s="8"/>
      <c r="G24" s="8"/>
      <c r="H24" s="8"/>
    </row>
    <row r="25" spans="3:8" s="5" customFormat="1" x14ac:dyDescent="0.35">
      <c r="C25" s="8"/>
      <c r="D25" s="8"/>
      <c r="E25" s="8"/>
      <c r="F25" s="8"/>
      <c r="G25" s="8"/>
      <c r="H25" s="8"/>
    </row>
    <row r="26" spans="3:8" s="5" customFormat="1" x14ac:dyDescent="0.35">
      <c r="C26" s="8"/>
      <c r="D26" s="8"/>
      <c r="E26" s="8"/>
      <c r="F26" s="8"/>
      <c r="G26" s="8"/>
      <c r="H26" s="8"/>
    </row>
    <row r="27" spans="3:8" s="5" customFormat="1" x14ac:dyDescent="0.35">
      <c r="C27" s="8"/>
      <c r="D27" s="8"/>
      <c r="E27" s="8"/>
      <c r="F27" s="8"/>
      <c r="G27" s="8"/>
      <c r="H27" s="8"/>
    </row>
    <row r="28" spans="3:8" s="5" customFormat="1" x14ac:dyDescent="0.35">
      <c r="C28" s="8"/>
      <c r="D28" s="8"/>
      <c r="E28" s="8"/>
      <c r="F28" s="8"/>
      <c r="G28" s="8"/>
      <c r="H28" s="8"/>
    </row>
    <row r="29" spans="3:8" s="5" customFormat="1" x14ac:dyDescent="0.35">
      <c r="C29" s="8"/>
      <c r="D29" s="8"/>
      <c r="E29" s="8"/>
      <c r="F29" s="8"/>
      <c r="G29" s="8"/>
      <c r="H29" s="8"/>
    </row>
    <row r="30" spans="3:8" s="5" customFormat="1" x14ac:dyDescent="0.35">
      <c r="C30" s="8"/>
      <c r="D30" s="8"/>
      <c r="E30" s="8"/>
      <c r="F30" s="8"/>
      <c r="G30" s="8"/>
      <c r="H30" s="8"/>
    </row>
    <row r="31" spans="3:8" s="5" customFormat="1" x14ac:dyDescent="0.35">
      <c r="C31" s="8"/>
      <c r="D31" s="8"/>
      <c r="E31" s="8"/>
      <c r="F31" s="8"/>
      <c r="G31" s="8"/>
      <c r="H31" s="8"/>
    </row>
    <row r="32" spans="3:8" s="5" customFormat="1" x14ac:dyDescent="0.35">
      <c r="C32" s="8"/>
      <c r="D32" s="8"/>
      <c r="E32" s="8"/>
      <c r="F32" s="8"/>
      <c r="G32" s="8"/>
      <c r="H32" s="8"/>
    </row>
    <row r="33" spans="3:8" s="5" customFormat="1" x14ac:dyDescent="0.35">
      <c r="C33" s="8"/>
      <c r="D33" s="8"/>
      <c r="E33" s="8"/>
      <c r="F33" s="8"/>
      <c r="G33" s="8"/>
      <c r="H33" s="29"/>
    </row>
    <row r="34" spans="3:8" s="5" customFormat="1" x14ac:dyDescent="0.35">
      <c r="C34" s="8"/>
      <c r="D34" s="8"/>
      <c r="E34" s="8"/>
      <c r="F34" s="8"/>
      <c r="G34" s="8"/>
      <c r="H34" s="29"/>
    </row>
    <row r="35" spans="3:8" s="5" customFormat="1" x14ac:dyDescent="0.35">
      <c r="C35" s="8"/>
      <c r="D35" s="8"/>
      <c r="E35" s="8"/>
      <c r="F35" s="8"/>
      <c r="G35" s="8"/>
      <c r="H35" s="29"/>
    </row>
    <row r="36" spans="3:8" s="5" customFormat="1" x14ac:dyDescent="0.35">
      <c r="C36" s="8"/>
      <c r="D36" s="8"/>
      <c r="E36" s="8"/>
      <c r="F36" s="8"/>
      <c r="G36" s="8"/>
      <c r="H36" s="29"/>
    </row>
    <row r="37" spans="3:8" s="5" customFormat="1" x14ac:dyDescent="0.35">
      <c r="C37" s="8"/>
      <c r="D37" s="8"/>
      <c r="E37" s="8"/>
      <c r="F37" s="8"/>
      <c r="G37" s="8"/>
      <c r="H37" s="29"/>
    </row>
    <row r="38" spans="3:8" s="5" customFormat="1" x14ac:dyDescent="0.35">
      <c r="C38" s="8"/>
      <c r="D38" s="8"/>
      <c r="E38" s="8"/>
      <c r="F38" s="8"/>
      <c r="G38" s="8"/>
      <c r="H38" s="29"/>
    </row>
    <row r="39" spans="3:8" s="5" customFormat="1" x14ac:dyDescent="0.35">
      <c r="C39" s="8"/>
      <c r="D39" s="8"/>
      <c r="E39" s="8"/>
      <c r="F39" s="8"/>
      <c r="G39" s="8"/>
    </row>
    <row r="40" spans="3:8" s="5" customFormat="1" x14ac:dyDescent="0.35">
      <c r="C40" s="8"/>
      <c r="D40" s="8"/>
      <c r="E40" s="8"/>
      <c r="F40" s="8"/>
      <c r="G40" s="8"/>
    </row>
    <row r="41" spans="3:8" s="5" customFormat="1" x14ac:dyDescent="0.35">
      <c r="C41" s="8"/>
      <c r="D41" s="8"/>
      <c r="E41" s="8"/>
      <c r="F41" s="8"/>
      <c r="G41" s="8"/>
    </row>
    <row r="42" spans="3:8" s="5" customFormat="1" x14ac:dyDescent="0.35">
      <c r="C42" s="8"/>
      <c r="D42" s="8"/>
      <c r="E42" s="8"/>
      <c r="F42" s="8"/>
      <c r="G42" s="8"/>
    </row>
    <row r="43" spans="3:8" s="5" customFormat="1" x14ac:dyDescent="0.35">
      <c r="C43" s="8"/>
      <c r="D43" s="8"/>
      <c r="E43" s="8"/>
      <c r="F43" s="8"/>
      <c r="G43" s="8"/>
    </row>
    <row r="44" spans="3:8" s="5" customFormat="1" x14ac:dyDescent="0.35">
      <c r="C44" s="8"/>
      <c r="D44" s="8"/>
      <c r="E44" s="8"/>
      <c r="F44" s="8"/>
      <c r="G44" s="8"/>
    </row>
    <row r="45" spans="3:8" s="5" customFormat="1" x14ac:dyDescent="0.35">
      <c r="C45" s="8"/>
      <c r="D45" s="8"/>
      <c r="E45" s="8"/>
      <c r="F45" s="8"/>
      <c r="G45" s="8"/>
    </row>
    <row r="46" spans="3:8" s="5" customFormat="1" x14ac:dyDescent="0.35">
      <c r="C46" s="8"/>
      <c r="D46" s="8"/>
      <c r="E46" s="8"/>
      <c r="F46" s="8"/>
      <c r="G46" s="8"/>
    </row>
    <row r="47" spans="3:8" s="5" customFormat="1" x14ac:dyDescent="0.35">
      <c r="C47" s="8"/>
      <c r="D47" s="8"/>
      <c r="E47" s="8"/>
      <c r="F47" s="8"/>
      <c r="G47" s="8"/>
    </row>
    <row r="48" spans="3:8" s="5" customFormat="1" x14ac:dyDescent="0.35">
      <c r="C48" s="8"/>
      <c r="D48" s="8"/>
      <c r="E48" s="8"/>
      <c r="F48" s="8"/>
      <c r="G48" s="8"/>
    </row>
    <row r="49" spans="3:7" s="5" customFormat="1" x14ac:dyDescent="0.35">
      <c r="C49" s="8"/>
      <c r="D49" s="8"/>
      <c r="E49" s="8"/>
      <c r="F49" s="8"/>
      <c r="G49" s="8"/>
    </row>
    <row r="50" spans="3:7" s="5" customFormat="1" x14ac:dyDescent="0.35">
      <c r="C50" s="8"/>
      <c r="D50" s="8"/>
      <c r="E50" s="8"/>
      <c r="F50" s="8"/>
      <c r="G50" s="8"/>
    </row>
    <row r="51" spans="3:7" s="5" customFormat="1" x14ac:dyDescent="0.35">
      <c r="C51" s="8"/>
      <c r="D51" s="8"/>
      <c r="E51" s="8"/>
      <c r="F51" s="8"/>
      <c r="G51" s="8"/>
    </row>
    <row r="52" spans="3:7" s="5" customFormat="1" x14ac:dyDescent="0.35">
      <c r="C52" s="8"/>
      <c r="D52" s="8"/>
      <c r="E52" s="8"/>
      <c r="F52" s="8"/>
      <c r="G52" s="8"/>
    </row>
    <row r="53" spans="3:7" s="5" customFormat="1" x14ac:dyDescent="0.35">
      <c r="C53" s="8"/>
      <c r="D53" s="8"/>
      <c r="E53" s="8"/>
      <c r="F53" s="8"/>
      <c r="G53" s="8"/>
    </row>
    <row r="54" spans="3:7" s="5" customFormat="1" x14ac:dyDescent="0.35">
      <c r="C54" s="8"/>
      <c r="D54" s="8"/>
      <c r="E54" s="8"/>
      <c r="F54" s="8"/>
      <c r="G54" s="8"/>
    </row>
    <row r="55" spans="3:7" s="5" customFormat="1" x14ac:dyDescent="0.35">
      <c r="C55" s="8"/>
      <c r="D55" s="8"/>
      <c r="E55" s="8"/>
      <c r="F55" s="8"/>
      <c r="G55" s="8"/>
    </row>
    <row r="56" spans="3:7" s="5" customFormat="1" x14ac:dyDescent="0.35">
      <c r="C56" s="8"/>
      <c r="D56" s="8"/>
      <c r="E56" s="8"/>
      <c r="F56" s="8"/>
      <c r="G56" s="8"/>
    </row>
    <row r="57" spans="3:7" s="5" customFormat="1" x14ac:dyDescent="0.35">
      <c r="C57" s="8"/>
      <c r="D57" s="8"/>
      <c r="E57" s="8"/>
      <c r="F57" s="8"/>
      <c r="G57" s="8"/>
    </row>
    <row r="58" spans="3:7" s="5" customFormat="1" x14ac:dyDescent="0.35">
      <c r="C58" s="8"/>
      <c r="D58" s="8"/>
      <c r="E58" s="8"/>
      <c r="F58" s="8"/>
      <c r="G58" s="8"/>
    </row>
    <row r="59" spans="3:7" s="5" customFormat="1" x14ac:dyDescent="0.35">
      <c r="C59" s="8"/>
      <c r="D59" s="8"/>
      <c r="E59" s="8"/>
      <c r="F59" s="8"/>
      <c r="G59" s="8"/>
    </row>
    <row r="60" spans="3:7" s="5" customFormat="1" x14ac:dyDescent="0.35">
      <c r="C60" s="8"/>
      <c r="D60" s="8"/>
      <c r="E60" s="8"/>
      <c r="F60" s="8"/>
      <c r="G60" s="8"/>
    </row>
    <row r="61" spans="3:7" s="5" customFormat="1" x14ac:dyDescent="0.35">
      <c r="C61" s="8"/>
      <c r="D61" s="8"/>
      <c r="E61" s="8"/>
      <c r="F61" s="8"/>
      <c r="G61" s="8"/>
    </row>
    <row r="62" spans="3:7" s="5" customFormat="1" x14ac:dyDescent="0.35">
      <c r="C62" s="8"/>
      <c r="D62" s="8"/>
      <c r="E62" s="8"/>
      <c r="F62" s="8"/>
      <c r="G62" s="8"/>
    </row>
    <row r="63" spans="3:7" s="5" customFormat="1" x14ac:dyDescent="0.35">
      <c r="C63" s="8"/>
      <c r="D63" s="8"/>
      <c r="E63" s="8"/>
      <c r="F63" s="8"/>
      <c r="G63" s="8"/>
    </row>
    <row r="64" spans="3:7" s="5" customFormat="1" x14ac:dyDescent="0.35">
      <c r="C64" s="8"/>
      <c r="D64" s="8"/>
      <c r="E64" s="8"/>
      <c r="F64" s="8"/>
      <c r="G64" s="8"/>
    </row>
    <row r="65" spans="3:7" s="5" customFormat="1" x14ac:dyDescent="0.35">
      <c r="C65" s="8"/>
      <c r="D65" s="8"/>
      <c r="E65" s="8"/>
      <c r="F65" s="8"/>
      <c r="G65" s="8"/>
    </row>
    <row r="66" spans="3:7" s="5" customFormat="1" x14ac:dyDescent="0.35">
      <c r="C66" s="8"/>
      <c r="D66" s="8"/>
      <c r="E66" s="8"/>
      <c r="F66" s="8"/>
      <c r="G66" s="8"/>
    </row>
    <row r="67" spans="3:7" s="5" customFormat="1" x14ac:dyDescent="0.35">
      <c r="C67" s="8"/>
      <c r="D67" s="8"/>
      <c r="E67" s="8"/>
      <c r="F67" s="8"/>
      <c r="G67" s="8"/>
    </row>
    <row r="68" spans="3:7" s="5" customFormat="1" x14ac:dyDescent="0.35">
      <c r="C68" s="8"/>
      <c r="D68" s="8"/>
      <c r="E68" s="8"/>
      <c r="F68" s="8"/>
      <c r="G68" s="8"/>
    </row>
    <row r="69" spans="3:7" s="5" customFormat="1" x14ac:dyDescent="0.35">
      <c r="C69" s="8"/>
      <c r="D69" s="8"/>
      <c r="E69" s="8"/>
      <c r="F69" s="8"/>
      <c r="G69" s="8"/>
    </row>
    <row r="70" spans="3:7" s="5" customFormat="1" x14ac:dyDescent="0.35">
      <c r="C70" s="8"/>
      <c r="D70" s="8"/>
      <c r="E70" s="8"/>
      <c r="F70" s="8"/>
      <c r="G70" s="8"/>
    </row>
    <row r="71" spans="3:7" s="5" customFormat="1" x14ac:dyDescent="0.35">
      <c r="C71" s="8"/>
      <c r="D71" s="8"/>
      <c r="E71" s="8"/>
      <c r="F71" s="8"/>
      <c r="G71" s="8"/>
    </row>
    <row r="72" spans="3:7" s="5" customFormat="1" x14ac:dyDescent="0.35">
      <c r="C72" s="8"/>
      <c r="D72" s="8"/>
      <c r="E72" s="8"/>
      <c r="F72" s="8"/>
      <c r="G72" s="8"/>
    </row>
    <row r="73" spans="3:7" s="5" customFormat="1" x14ac:dyDescent="0.35">
      <c r="C73" s="8"/>
      <c r="D73" s="8"/>
      <c r="E73" s="8"/>
      <c r="F73" s="8"/>
      <c r="G73" s="8"/>
    </row>
    <row r="74" spans="3:7" s="5" customFormat="1" x14ac:dyDescent="0.35">
      <c r="C74" s="8"/>
      <c r="D74" s="8"/>
      <c r="E74" s="8"/>
      <c r="F74" s="8"/>
      <c r="G74" s="8"/>
    </row>
    <row r="75" spans="3:7" s="5" customFormat="1" x14ac:dyDescent="0.35">
      <c r="C75" s="8"/>
      <c r="D75" s="8"/>
      <c r="E75" s="8"/>
      <c r="F75" s="8"/>
      <c r="G75" s="8"/>
    </row>
    <row r="76" spans="3:7" s="5" customFormat="1" x14ac:dyDescent="0.35">
      <c r="C76" s="8"/>
      <c r="D76" s="8"/>
      <c r="E76" s="8"/>
      <c r="F76" s="8"/>
      <c r="G76" s="8"/>
    </row>
    <row r="77" spans="3:7" s="5" customFormat="1" x14ac:dyDescent="0.35">
      <c r="C77" s="8"/>
      <c r="D77" s="8"/>
      <c r="E77" s="8"/>
      <c r="F77" s="8"/>
      <c r="G77" s="8"/>
    </row>
    <row r="78" spans="3:7" s="5" customFormat="1" x14ac:dyDescent="0.35">
      <c r="C78" s="8"/>
      <c r="D78" s="8"/>
      <c r="E78" s="8"/>
      <c r="F78" s="8"/>
      <c r="G78" s="8"/>
    </row>
    <row r="79" spans="3:7" s="5" customFormat="1" x14ac:dyDescent="0.35">
      <c r="C79" s="8"/>
      <c r="D79" s="8"/>
      <c r="E79" s="8"/>
      <c r="F79" s="8"/>
      <c r="G79" s="8"/>
    </row>
    <row r="80" spans="3:7" s="5" customFormat="1" x14ac:dyDescent="0.35">
      <c r="C80" s="8"/>
      <c r="D80" s="8"/>
      <c r="E80" s="8"/>
      <c r="F80" s="8"/>
      <c r="G80" s="8"/>
    </row>
    <row r="81" spans="3:7" s="5" customFormat="1" x14ac:dyDescent="0.35">
      <c r="C81" s="8"/>
      <c r="D81" s="8"/>
      <c r="E81" s="8"/>
      <c r="F81" s="8"/>
      <c r="G81" s="8"/>
    </row>
    <row r="82" spans="3:7" s="5" customFormat="1" x14ac:dyDescent="0.35">
      <c r="C82" s="8"/>
      <c r="D82" s="8"/>
      <c r="E82" s="8"/>
      <c r="F82" s="8"/>
      <c r="G82" s="8"/>
    </row>
    <row r="83" spans="3:7" s="5" customFormat="1" x14ac:dyDescent="0.35">
      <c r="C83" s="8"/>
      <c r="D83" s="8"/>
      <c r="E83" s="8"/>
      <c r="F83" s="8"/>
      <c r="G83" s="8"/>
    </row>
    <row r="84" spans="3:7" s="5" customFormat="1" x14ac:dyDescent="0.35">
      <c r="C84" s="8"/>
      <c r="D84" s="8"/>
      <c r="E84" s="8"/>
      <c r="F84" s="8"/>
      <c r="G84" s="8"/>
    </row>
    <row r="85" spans="3:7" s="5" customFormat="1" x14ac:dyDescent="0.35">
      <c r="C85" s="8"/>
      <c r="D85" s="8"/>
      <c r="E85" s="8"/>
      <c r="F85" s="8"/>
      <c r="G85" s="8"/>
    </row>
    <row r="86" spans="3:7" s="5" customFormat="1" x14ac:dyDescent="0.35">
      <c r="C86" s="8"/>
      <c r="D86" s="8"/>
      <c r="E86" s="8"/>
      <c r="F86" s="8"/>
      <c r="G86" s="8"/>
    </row>
    <row r="87" spans="3:7" s="5" customFormat="1" x14ac:dyDescent="0.35">
      <c r="C87" s="8"/>
      <c r="D87" s="8"/>
      <c r="E87" s="8"/>
      <c r="F87" s="8"/>
      <c r="G87" s="8"/>
    </row>
    <row r="88" spans="3:7" s="5" customFormat="1" x14ac:dyDescent="0.35">
      <c r="C88" s="8"/>
      <c r="D88" s="8"/>
      <c r="E88" s="8"/>
      <c r="F88" s="8"/>
      <c r="G88" s="8"/>
    </row>
    <row r="89" spans="3:7" s="5" customFormat="1" x14ac:dyDescent="0.35">
      <c r="C89" s="8"/>
      <c r="D89" s="8"/>
      <c r="E89" s="8"/>
      <c r="F89" s="8"/>
      <c r="G89" s="8"/>
    </row>
    <row r="90" spans="3:7" s="5" customFormat="1" x14ac:dyDescent="0.35">
      <c r="C90" s="8"/>
      <c r="D90" s="8"/>
      <c r="E90" s="8"/>
      <c r="F90" s="8"/>
      <c r="G90" s="8"/>
    </row>
    <row r="91" spans="3:7" s="5" customFormat="1" x14ac:dyDescent="0.35">
      <c r="C91" s="8"/>
      <c r="D91" s="8"/>
      <c r="E91" s="8"/>
      <c r="F91" s="8"/>
      <c r="G91" s="8"/>
    </row>
    <row r="92" spans="3:7" s="5" customFormat="1" x14ac:dyDescent="0.35">
      <c r="C92" s="8"/>
      <c r="D92" s="8"/>
      <c r="E92" s="8"/>
      <c r="F92" s="8"/>
      <c r="G92" s="8"/>
    </row>
    <row r="93" spans="3:7" s="5" customFormat="1" x14ac:dyDescent="0.35">
      <c r="C93" s="8"/>
      <c r="D93" s="8"/>
      <c r="E93" s="8"/>
      <c r="F93" s="8"/>
      <c r="G93" s="8"/>
    </row>
    <row r="94" spans="3:7" s="5" customFormat="1" x14ac:dyDescent="0.35">
      <c r="C94" s="8"/>
      <c r="D94" s="8"/>
      <c r="E94" s="8"/>
      <c r="F94" s="8"/>
      <c r="G94" s="8"/>
    </row>
    <row r="95" spans="3:7" s="5" customFormat="1" x14ac:dyDescent="0.35">
      <c r="C95" s="8"/>
      <c r="D95" s="8"/>
      <c r="E95" s="8"/>
      <c r="F95" s="8"/>
      <c r="G95" s="8"/>
    </row>
    <row r="96" spans="3:7" s="5" customFormat="1" x14ac:dyDescent="0.35">
      <c r="C96" s="8"/>
      <c r="D96" s="8"/>
      <c r="E96" s="8"/>
      <c r="F96" s="8"/>
      <c r="G96" s="8"/>
    </row>
    <row r="97" spans="3:7" s="5" customFormat="1" x14ac:dyDescent="0.35">
      <c r="C97" s="8"/>
      <c r="D97" s="8"/>
      <c r="E97" s="8"/>
      <c r="F97" s="8"/>
      <c r="G97" s="8"/>
    </row>
    <row r="98" spans="3:7" s="5" customFormat="1" x14ac:dyDescent="0.35">
      <c r="C98" s="8"/>
      <c r="D98" s="8"/>
      <c r="E98" s="8"/>
      <c r="F98" s="8"/>
      <c r="G98" s="8"/>
    </row>
    <row r="99" spans="3:7" s="5" customFormat="1" x14ac:dyDescent="0.35">
      <c r="C99" s="8"/>
      <c r="D99" s="8"/>
      <c r="E99" s="8"/>
      <c r="F99" s="8"/>
      <c r="G99" s="8"/>
    </row>
    <row r="100" spans="3:7" s="5" customFormat="1" x14ac:dyDescent="0.35">
      <c r="C100" s="8"/>
      <c r="D100" s="8"/>
      <c r="E100" s="8"/>
      <c r="F100" s="8"/>
      <c r="G100" s="8"/>
    </row>
    <row r="101" spans="3:7" s="5" customFormat="1" x14ac:dyDescent="0.35">
      <c r="C101" s="8"/>
      <c r="D101" s="8"/>
      <c r="E101" s="8"/>
      <c r="F101" s="8"/>
      <c r="G101" s="8"/>
    </row>
    <row r="102" spans="3:7" s="5" customFormat="1" x14ac:dyDescent="0.35">
      <c r="C102" s="8"/>
      <c r="D102" s="8"/>
      <c r="E102" s="8"/>
      <c r="F102" s="8"/>
      <c r="G102" s="8"/>
    </row>
    <row r="103" spans="3:7" s="5" customFormat="1" x14ac:dyDescent="0.35">
      <c r="C103" s="8"/>
      <c r="D103" s="8"/>
      <c r="E103" s="8"/>
      <c r="F103" s="8"/>
      <c r="G103" s="8"/>
    </row>
    <row r="104" spans="3:7" s="5" customFormat="1" x14ac:dyDescent="0.35">
      <c r="C104" s="8"/>
      <c r="D104" s="8"/>
      <c r="E104" s="8"/>
      <c r="F104" s="8"/>
      <c r="G104" s="8"/>
    </row>
    <row r="105" spans="3:7" s="5" customFormat="1" x14ac:dyDescent="0.35">
      <c r="C105" s="8"/>
      <c r="D105" s="8"/>
      <c r="E105" s="8"/>
      <c r="F105" s="8"/>
      <c r="G105" s="8"/>
    </row>
    <row r="106" spans="3:7" s="5" customFormat="1" x14ac:dyDescent="0.35">
      <c r="C106" s="8"/>
      <c r="D106" s="8"/>
      <c r="E106" s="8"/>
      <c r="F106" s="8"/>
      <c r="G106" s="8"/>
    </row>
    <row r="107" spans="3:7" s="5" customFormat="1" x14ac:dyDescent="0.35">
      <c r="C107" s="8"/>
      <c r="D107" s="8"/>
      <c r="E107" s="8"/>
      <c r="F107" s="8"/>
      <c r="G107" s="8"/>
    </row>
    <row r="108" spans="3:7" s="5" customFormat="1" x14ac:dyDescent="0.35">
      <c r="C108" s="8"/>
      <c r="D108" s="8"/>
      <c r="E108" s="8"/>
      <c r="F108" s="8"/>
      <c r="G108" s="8"/>
    </row>
    <row r="109" spans="3:7" s="5" customFormat="1" x14ac:dyDescent="0.35">
      <c r="C109" s="8"/>
      <c r="D109" s="8"/>
      <c r="E109" s="8"/>
      <c r="F109" s="8"/>
      <c r="G109" s="8"/>
    </row>
    <row r="110" spans="3:7" s="5" customFormat="1" x14ac:dyDescent="0.35">
      <c r="C110" s="8"/>
      <c r="D110" s="8"/>
      <c r="E110" s="8"/>
      <c r="F110" s="8"/>
      <c r="G110" s="8"/>
    </row>
    <row r="111" spans="3:7" s="5" customFormat="1" x14ac:dyDescent="0.35"/>
  </sheetData>
  <mergeCells count="1">
    <mergeCell ref="A1:H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F369-1623-4FD3-84BC-201101BF4BD2}">
  <dimension ref="A1:K111"/>
  <sheetViews>
    <sheetView workbookViewId="0">
      <selection activeCell="H4" sqref="H4:K5"/>
    </sheetView>
  </sheetViews>
  <sheetFormatPr baseColWidth="10" defaultRowHeight="14.5" x14ac:dyDescent="0.35"/>
  <cols>
    <col min="2" max="2" width="20.1796875" customWidth="1"/>
    <col min="3" max="3" width="19" bestFit="1" customWidth="1"/>
    <col min="4" max="6" width="10.90625" style="10"/>
    <col min="7" max="7" width="5.36328125" customWidth="1"/>
    <col min="8" max="8" width="14.7265625" customWidth="1"/>
    <col min="9" max="9" width="21.90625" customWidth="1"/>
    <col min="10" max="10" width="21.1796875" customWidth="1"/>
  </cols>
  <sheetData>
    <row r="1" spans="1:11" x14ac:dyDescent="0.35">
      <c r="A1" s="48" t="s">
        <v>154</v>
      </c>
      <c r="B1" s="48"/>
      <c r="C1" s="48"/>
      <c r="D1" s="48"/>
      <c r="E1" s="48"/>
      <c r="F1" s="49"/>
      <c r="H1" t="s">
        <v>64</v>
      </c>
    </row>
    <row r="2" spans="1:11" s="5" customFormat="1" x14ac:dyDescent="0.35">
      <c r="A2" s="30" t="s">
        <v>56</v>
      </c>
      <c r="B2" s="30"/>
      <c r="C2" s="30" t="s">
        <v>5</v>
      </c>
      <c r="D2" s="31" t="s">
        <v>3</v>
      </c>
      <c r="E2" s="31" t="s">
        <v>54</v>
      </c>
      <c r="F2" s="32" t="s">
        <v>55</v>
      </c>
    </row>
    <row r="3" spans="1:11" s="5" customFormat="1" x14ac:dyDescent="0.35">
      <c r="A3" s="33">
        <v>42720</v>
      </c>
      <c r="B3" s="30" t="s">
        <v>53</v>
      </c>
      <c r="C3" s="34" t="s">
        <v>17</v>
      </c>
      <c r="D3" s="31">
        <v>436.74</v>
      </c>
      <c r="E3" s="35">
        <v>502</v>
      </c>
      <c r="F3" s="32">
        <v>72.5</v>
      </c>
      <c r="H3" s="7">
        <v>42844</v>
      </c>
      <c r="I3" s="5" t="s">
        <v>155</v>
      </c>
      <c r="J3" s="5" t="s">
        <v>153</v>
      </c>
      <c r="K3" s="18">
        <v>189.6</v>
      </c>
    </row>
    <row r="4" spans="1:11" s="5" customFormat="1" x14ac:dyDescent="0.35">
      <c r="A4" s="33">
        <v>42765</v>
      </c>
      <c r="B4" s="30" t="s">
        <v>53</v>
      </c>
      <c r="C4" s="34" t="s">
        <v>17</v>
      </c>
      <c r="D4" s="31">
        <v>2259.8000000000002</v>
      </c>
      <c r="E4" s="35"/>
      <c r="F4" s="32"/>
      <c r="H4" s="2">
        <v>43203</v>
      </c>
      <c r="I4" s="4" t="s">
        <v>140</v>
      </c>
      <c r="J4" s="5" t="s">
        <v>153</v>
      </c>
      <c r="K4" s="6">
        <v>198</v>
      </c>
    </row>
    <row r="5" spans="1:11" s="5" customFormat="1" x14ac:dyDescent="0.35">
      <c r="A5" s="33">
        <v>42940</v>
      </c>
      <c r="B5" s="30" t="s">
        <v>53</v>
      </c>
      <c r="C5" s="30" t="s">
        <v>17</v>
      </c>
      <c r="D5" s="31">
        <v>974.32</v>
      </c>
      <c r="E5" s="35">
        <v>1442</v>
      </c>
      <c r="F5" s="32">
        <v>54</v>
      </c>
      <c r="H5" s="7">
        <v>43564</v>
      </c>
      <c r="I5" s="5" t="s">
        <v>155</v>
      </c>
      <c r="J5" s="5" t="s">
        <v>153</v>
      </c>
      <c r="K5" s="5">
        <v>213.6</v>
      </c>
    </row>
    <row r="6" spans="1:11" s="5" customFormat="1" x14ac:dyDescent="0.35">
      <c r="A6" s="33">
        <v>43173</v>
      </c>
      <c r="B6" s="30" t="s">
        <v>53</v>
      </c>
      <c r="C6" s="30" t="s">
        <v>17</v>
      </c>
      <c r="D6" s="31">
        <v>812.36</v>
      </c>
      <c r="E6" s="35">
        <v>1002</v>
      </c>
      <c r="F6" s="32">
        <v>62.75</v>
      </c>
    </row>
    <row r="7" spans="1:11" s="5" customFormat="1" x14ac:dyDescent="0.35">
      <c r="A7" s="33">
        <v>43336</v>
      </c>
      <c r="B7" s="30" t="s">
        <v>53</v>
      </c>
      <c r="C7" s="30" t="s">
        <v>17</v>
      </c>
      <c r="D7" s="30">
        <v>1616.41</v>
      </c>
      <c r="E7" s="35">
        <v>1904</v>
      </c>
      <c r="F7" s="32">
        <v>69</v>
      </c>
    </row>
    <row r="8" spans="1:11" s="5" customFormat="1" x14ac:dyDescent="0.35">
      <c r="A8" s="33">
        <v>43528</v>
      </c>
      <c r="B8" s="30" t="s">
        <v>53</v>
      </c>
      <c r="C8" s="30" t="s">
        <v>17</v>
      </c>
      <c r="D8" s="31">
        <v>1587.68</v>
      </c>
      <c r="E8" s="35">
        <v>1858</v>
      </c>
      <c r="F8" s="32">
        <v>69.42</v>
      </c>
    </row>
    <row r="9" spans="1:11" s="5" customFormat="1" x14ac:dyDescent="0.35">
      <c r="A9" s="33">
        <v>43731</v>
      </c>
      <c r="B9" s="30" t="s">
        <v>53</v>
      </c>
      <c r="C9" s="30" t="s">
        <v>17</v>
      </c>
      <c r="D9" s="31">
        <v>715.36</v>
      </c>
      <c r="E9" s="35">
        <v>836</v>
      </c>
      <c r="F9" s="32">
        <v>67.33</v>
      </c>
    </row>
    <row r="10" spans="1:11" s="5" customFormat="1" x14ac:dyDescent="0.35">
      <c r="A10" s="30"/>
      <c r="B10" s="30" t="s">
        <v>53</v>
      </c>
      <c r="C10" s="30" t="s">
        <v>17</v>
      </c>
      <c r="D10" s="31"/>
      <c r="E10" s="35"/>
      <c r="F10" s="32"/>
    </row>
    <row r="11" spans="1:11" s="5" customFormat="1" x14ac:dyDescent="0.35">
      <c r="A11" s="30"/>
      <c r="B11" s="30" t="s">
        <v>53</v>
      </c>
      <c r="C11" s="30" t="s">
        <v>17</v>
      </c>
      <c r="D11" s="31"/>
      <c r="E11" s="35"/>
      <c r="F11" s="32"/>
    </row>
    <row r="12" spans="1:11" s="5" customFormat="1" x14ac:dyDescent="0.35">
      <c r="A12" s="30"/>
      <c r="B12" s="30" t="s">
        <v>53</v>
      </c>
      <c r="C12" s="30" t="s">
        <v>17</v>
      </c>
      <c r="D12" s="31"/>
      <c r="E12" s="35"/>
      <c r="F12" s="32"/>
    </row>
    <row r="13" spans="1:11" s="5" customFormat="1" x14ac:dyDescent="0.35">
      <c r="A13" s="30"/>
      <c r="B13" s="30" t="s">
        <v>53</v>
      </c>
      <c r="C13" s="30" t="s">
        <v>17</v>
      </c>
      <c r="D13" s="31"/>
      <c r="E13" s="35"/>
      <c r="F13" s="32"/>
    </row>
    <row r="14" spans="1:11" s="5" customFormat="1" x14ac:dyDescent="0.35">
      <c r="A14" s="30"/>
      <c r="B14" s="30" t="s">
        <v>53</v>
      </c>
      <c r="C14" s="30" t="s">
        <v>17</v>
      </c>
      <c r="D14" s="31"/>
      <c r="E14" s="35"/>
      <c r="F14" s="32"/>
    </row>
    <row r="15" spans="1:11" s="5" customFormat="1" x14ac:dyDescent="0.35">
      <c r="A15" s="30"/>
      <c r="B15" s="30"/>
      <c r="C15" s="30"/>
      <c r="D15" s="31"/>
      <c r="E15" s="35"/>
      <c r="F15" s="32"/>
    </row>
    <row r="16" spans="1:11" s="5" customFormat="1" x14ac:dyDescent="0.35">
      <c r="A16" s="30"/>
      <c r="B16" s="30"/>
      <c r="C16" s="30"/>
      <c r="D16" s="31"/>
      <c r="E16" s="31"/>
      <c r="F16" s="32"/>
    </row>
    <row r="17" spans="1:6" s="5" customFormat="1" x14ac:dyDescent="0.35">
      <c r="A17" s="30"/>
      <c r="B17" s="30"/>
      <c r="C17" s="30"/>
      <c r="D17" s="31"/>
      <c r="E17" s="31"/>
      <c r="F17" s="32"/>
    </row>
    <row r="18" spans="1:6" s="5" customFormat="1" x14ac:dyDescent="0.35">
      <c r="A18" s="30"/>
      <c r="B18" s="30"/>
      <c r="C18" s="30"/>
      <c r="D18" s="31"/>
      <c r="E18" s="31"/>
      <c r="F18" s="32"/>
    </row>
    <row r="19" spans="1:6" s="5" customFormat="1" x14ac:dyDescent="0.35">
      <c r="A19" s="30"/>
      <c r="B19" s="30"/>
      <c r="C19" s="30"/>
      <c r="D19" s="31"/>
      <c r="E19" s="31"/>
      <c r="F19" s="32"/>
    </row>
    <row r="20" spans="1:6" s="5" customFormat="1" x14ac:dyDescent="0.35">
      <c r="D20" s="18"/>
      <c r="E20" s="18"/>
      <c r="F20" s="18"/>
    </row>
    <row r="21" spans="1:6" s="5" customFormat="1" x14ac:dyDescent="0.35">
      <c r="D21" s="18"/>
      <c r="E21" s="18"/>
      <c r="F21" s="18"/>
    </row>
    <row r="22" spans="1:6" s="5" customFormat="1" x14ac:dyDescent="0.35">
      <c r="D22" s="18"/>
      <c r="E22" s="18"/>
      <c r="F22" s="18"/>
    </row>
    <row r="23" spans="1:6" s="5" customFormat="1" x14ac:dyDescent="0.35">
      <c r="D23" s="18"/>
      <c r="E23" s="18"/>
      <c r="F23" s="18"/>
    </row>
    <row r="24" spans="1:6" s="5" customFormat="1" x14ac:dyDescent="0.35">
      <c r="D24" s="18"/>
      <c r="E24" s="18"/>
      <c r="F24" s="18"/>
    </row>
    <row r="25" spans="1:6" s="5" customFormat="1" x14ac:dyDescent="0.35">
      <c r="D25" s="18"/>
      <c r="E25" s="18"/>
      <c r="F25" s="18"/>
    </row>
    <row r="26" spans="1:6" s="5" customFormat="1" x14ac:dyDescent="0.35">
      <c r="D26" s="18"/>
      <c r="E26" s="18"/>
      <c r="F26" s="18"/>
    </row>
    <row r="27" spans="1:6" s="5" customFormat="1" x14ac:dyDescent="0.35">
      <c r="D27" s="18"/>
      <c r="E27" s="18"/>
      <c r="F27" s="18"/>
    </row>
    <row r="28" spans="1:6" s="5" customFormat="1" x14ac:dyDescent="0.35">
      <c r="D28" s="18"/>
      <c r="E28" s="18"/>
      <c r="F28" s="18"/>
    </row>
    <row r="29" spans="1:6" s="5" customFormat="1" x14ac:dyDescent="0.35">
      <c r="D29" s="18"/>
      <c r="E29" s="18"/>
      <c r="F29" s="18"/>
    </row>
    <row r="30" spans="1:6" s="5" customFormat="1" x14ac:dyDescent="0.35">
      <c r="D30" s="18"/>
      <c r="E30" s="18"/>
      <c r="F30" s="18"/>
    </row>
    <row r="31" spans="1:6" s="5" customFormat="1" x14ac:dyDescent="0.35">
      <c r="D31" s="18"/>
      <c r="E31" s="18"/>
      <c r="F31" s="18"/>
    </row>
    <row r="32" spans="1:6" s="5" customFormat="1" x14ac:dyDescent="0.35">
      <c r="D32" s="18"/>
      <c r="E32" s="18"/>
      <c r="F32" s="18"/>
    </row>
    <row r="33" spans="4:6" s="5" customFormat="1" x14ac:dyDescent="0.35">
      <c r="D33" s="18"/>
      <c r="E33" s="18"/>
      <c r="F33" s="18"/>
    </row>
    <row r="34" spans="4:6" s="5" customFormat="1" x14ac:dyDescent="0.35">
      <c r="D34" s="18"/>
      <c r="E34" s="18"/>
      <c r="F34" s="18"/>
    </row>
    <row r="35" spans="4:6" s="5" customFormat="1" x14ac:dyDescent="0.35">
      <c r="D35" s="18"/>
      <c r="E35" s="18"/>
      <c r="F35" s="18"/>
    </row>
    <row r="36" spans="4:6" s="5" customFormat="1" x14ac:dyDescent="0.35">
      <c r="D36" s="18"/>
      <c r="E36" s="18"/>
      <c r="F36" s="18"/>
    </row>
    <row r="37" spans="4:6" s="5" customFormat="1" x14ac:dyDescent="0.35">
      <c r="D37" s="18"/>
      <c r="E37" s="18"/>
      <c r="F37" s="18"/>
    </row>
    <row r="38" spans="4:6" s="5" customFormat="1" x14ac:dyDescent="0.35">
      <c r="D38" s="18"/>
      <c r="E38" s="18"/>
      <c r="F38" s="18"/>
    </row>
    <row r="39" spans="4:6" s="5" customFormat="1" x14ac:dyDescent="0.35">
      <c r="D39" s="18"/>
      <c r="E39" s="18"/>
      <c r="F39" s="18"/>
    </row>
    <row r="40" spans="4:6" s="5" customFormat="1" x14ac:dyDescent="0.35">
      <c r="D40" s="18"/>
      <c r="E40" s="18"/>
      <c r="F40" s="18"/>
    </row>
    <row r="41" spans="4:6" s="5" customFormat="1" x14ac:dyDescent="0.35">
      <c r="D41" s="18"/>
      <c r="E41" s="18"/>
      <c r="F41" s="18"/>
    </row>
    <row r="42" spans="4:6" s="5" customFormat="1" x14ac:dyDescent="0.35">
      <c r="D42" s="18"/>
      <c r="E42" s="18"/>
      <c r="F42" s="18"/>
    </row>
    <row r="43" spans="4:6" s="5" customFormat="1" x14ac:dyDescent="0.35">
      <c r="D43" s="18"/>
      <c r="E43" s="18"/>
      <c r="F43" s="18"/>
    </row>
    <row r="44" spans="4:6" s="5" customFormat="1" x14ac:dyDescent="0.35">
      <c r="D44" s="18"/>
      <c r="E44" s="18"/>
      <c r="F44" s="18"/>
    </row>
    <row r="45" spans="4:6" s="5" customFormat="1" x14ac:dyDescent="0.35">
      <c r="D45" s="18"/>
      <c r="E45" s="18"/>
      <c r="F45" s="18"/>
    </row>
    <row r="46" spans="4:6" s="5" customFormat="1" x14ac:dyDescent="0.35">
      <c r="D46" s="18"/>
      <c r="E46" s="18"/>
      <c r="F46" s="18"/>
    </row>
    <row r="47" spans="4:6" s="5" customFormat="1" x14ac:dyDescent="0.35">
      <c r="D47" s="18"/>
      <c r="E47" s="18"/>
      <c r="F47" s="18"/>
    </row>
    <row r="48" spans="4:6" s="5" customFormat="1" x14ac:dyDescent="0.35">
      <c r="D48" s="18"/>
      <c r="E48" s="18"/>
      <c r="F48" s="18"/>
    </row>
    <row r="49" spans="4:6" s="5" customFormat="1" x14ac:dyDescent="0.35">
      <c r="D49" s="18"/>
      <c r="E49" s="18"/>
      <c r="F49" s="18"/>
    </row>
    <row r="50" spans="4:6" s="5" customFormat="1" x14ac:dyDescent="0.35">
      <c r="D50" s="18"/>
      <c r="E50" s="18"/>
      <c r="F50" s="18"/>
    </row>
    <row r="51" spans="4:6" s="5" customFormat="1" x14ac:dyDescent="0.35">
      <c r="D51" s="18"/>
      <c r="E51" s="18"/>
      <c r="F51" s="18"/>
    </row>
    <row r="52" spans="4:6" s="5" customFormat="1" x14ac:dyDescent="0.35">
      <c r="D52" s="18"/>
      <c r="E52" s="18"/>
      <c r="F52" s="18"/>
    </row>
    <row r="53" spans="4:6" s="5" customFormat="1" x14ac:dyDescent="0.35">
      <c r="D53" s="18"/>
      <c r="E53" s="18"/>
      <c r="F53" s="18"/>
    </row>
    <row r="54" spans="4:6" s="5" customFormat="1" x14ac:dyDescent="0.35">
      <c r="D54" s="18"/>
      <c r="E54" s="18"/>
      <c r="F54" s="18"/>
    </row>
    <row r="55" spans="4:6" s="5" customFormat="1" x14ac:dyDescent="0.35">
      <c r="D55" s="18"/>
      <c r="E55" s="18"/>
      <c r="F55" s="18"/>
    </row>
    <row r="56" spans="4:6" s="5" customFormat="1" x14ac:dyDescent="0.35">
      <c r="D56" s="18"/>
      <c r="E56" s="18"/>
      <c r="F56" s="18"/>
    </row>
    <row r="57" spans="4:6" s="5" customFormat="1" x14ac:dyDescent="0.35">
      <c r="D57" s="18"/>
      <c r="E57" s="18"/>
      <c r="F57" s="18"/>
    </row>
    <row r="58" spans="4:6" s="5" customFormat="1" x14ac:dyDescent="0.35">
      <c r="D58" s="18"/>
      <c r="E58" s="18"/>
      <c r="F58" s="18"/>
    </row>
    <row r="59" spans="4:6" s="5" customFormat="1" x14ac:dyDescent="0.35">
      <c r="D59" s="18"/>
      <c r="E59" s="18"/>
      <c r="F59" s="18"/>
    </row>
    <row r="60" spans="4:6" s="5" customFormat="1" x14ac:dyDescent="0.35">
      <c r="D60" s="18"/>
      <c r="E60" s="18"/>
      <c r="F60" s="18"/>
    </row>
    <row r="61" spans="4:6" s="5" customFormat="1" x14ac:dyDescent="0.35">
      <c r="D61" s="18"/>
      <c r="E61" s="18"/>
      <c r="F61" s="18"/>
    </row>
    <row r="62" spans="4:6" s="5" customFormat="1" x14ac:dyDescent="0.35">
      <c r="D62" s="18"/>
      <c r="E62" s="18"/>
      <c r="F62" s="18"/>
    </row>
    <row r="63" spans="4:6" s="5" customFormat="1" x14ac:dyDescent="0.35">
      <c r="D63" s="18"/>
      <c r="E63" s="18"/>
      <c r="F63" s="18"/>
    </row>
    <row r="64" spans="4:6" s="5" customFormat="1" x14ac:dyDescent="0.35">
      <c r="D64" s="18"/>
      <c r="E64" s="18"/>
      <c r="F64" s="18"/>
    </row>
    <row r="65" spans="4:6" s="5" customFormat="1" x14ac:dyDescent="0.35">
      <c r="D65" s="18"/>
      <c r="E65" s="18"/>
      <c r="F65" s="18"/>
    </row>
    <row r="66" spans="4:6" s="5" customFormat="1" x14ac:dyDescent="0.35">
      <c r="D66" s="18"/>
      <c r="E66" s="18"/>
      <c r="F66" s="18"/>
    </row>
    <row r="67" spans="4:6" s="5" customFormat="1" x14ac:dyDescent="0.35">
      <c r="D67" s="18"/>
      <c r="E67" s="18"/>
      <c r="F67" s="18"/>
    </row>
    <row r="68" spans="4:6" s="5" customFormat="1" x14ac:dyDescent="0.35">
      <c r="D68" s="18"/>
      <c r="E68" s="18"/>
      <c r="F68" s="18"/>
    </row>
    <row r="69" spans="4:6" s="5" customFormat="1" x14ac:dyDescent="0.35">
      <c r="D69" s="18"/>
      <c r="E69" s="18"/>
      <c r="F69" s="18"/>
    </row>
    <row r="70" spans="4:6" s="5" customFormat="1" x14ac:dyDescent="0.35">
      <c r="D70" s="18"/>
      <c r="E70" s="18"/>
      <c r="F70" s="18"/>
    </row>
    <row r="71" spans="4:6" s="5" customFormat="1" x14ac:dyDescent="0.35">
      <c r="D71" s="18"/>
      <c r="E71" s="18"/>
      <c r="F71" s="18"/>
    </row>
    <row r="72" spans="4:6" s="5" customFormat="1" x14ac:dyDescent="0.35">
      <c r="D72" s="18"/>
      <c r="E72" s="18"/>
      <c r="F72" s="18"/>
    </row>
    <row r="73" spans="4:6" s="5" customFormat="1" x14ac:dyDescent="0.35">
      <c r="D73" s="18"/>
      <c r="E73" s="18"/>
      <c r="F73" s="18"/>
    </row>
    <row r="74" spans="4:6" s="5" customFormat="1" x14ac:dyDescent="0.35">
      <c r="D74" s="18"/>
      <c r="E74" s="18"/>
      <c r="F74" s="18"/>
    </row>
    <row r="75" spans="4:6" s="5" customFormat="1" x14ac:dyDescent="0.35">
      <c r="D75" s="18"/>
      <c r="E75" s="18"/>
      <c r="F75" s="18"/>
    </row>
    <row r="76" spans="4:6" s="5" customFormat="1" x14ac:dyDescent="0.35">
      <c r="D76" s="18"/>
      <c r="E76" s="18"/>
      <c r="F76" s="18"/>
    </row>
    <row r="77" spans="4:6" s="5" customFormat="1" x14ac:dyDescent="0.35">
      <c r="D77" s="18"/>
      <c r="E77" s="18"/>
      <c r="F77" s="18"/>
    </row>
    <row r="78" spans="4:6" s="5" customFormat="1" x14ac:dyDescent="0.35">
      <c r="D78" s="18"/>
      <c r="E78" s="18"/>
      <c r="F78" s="18"/>
    </row>
    <row r="79" spans="4:6" s="5" customFormat="1" x14ac:dyDescent="0.35">
      <c r="D79" s="18"/>
      <c r="E79" s="18"/>
      <c r="F79" s="18"/>
    </row>
    <row r="80" spans="4:6" s="5" customFormat="1" x14ac:dyDescent="0.35">
      <c r="D80" s="18"/>
      <c r="E80" s="18"/>
      <c r="F80" s="18"/>
    </row>
    <row r="81" spans="4:6" s="5" customFormat="1" x14ac:dyDescent="0.35">
      <c r="D81" s="18"/>
      <c r="E81" s="18"/>
      <c r="F81" s="18"/>
    </row>
    <row r="82" spans="4:6" s="5" customFormat="1" x14ac:dyDescent="0.35">
      <c r="D82" s="18"/>
      <c r="E82" s="18"/>
      <c r="F82" s="18"/>
    </row>
    <row r="83" spans="4:6" s="5" customFormat="1" x14ac:dyDescent="0.35">
      <c r="D83" s="18"/>
      <c r="E83" s="18"/>
      <c r="F83" s="18"/>
    </row>
    <row r="84" spans="4:6" s="5" customFormat="1" x14ac:dyDescent="0.35">
      <c r="D84" s="18"/>
      <c r="E84" s="18"/>
      <c r="F84" s="18"/>
    </row>
    <row r="85" spans="4:6" s="5" customFormat="1" x14ac:dyDescent="0.35">
      <c r="D85" s="18"/>
      <c r="E85" s="18"/>
      <c r="F85" s="18"/>
    </row>
    <row r="86" spans="4:6" s="5" customFormat="1" x14ac:dyDescent="0.35">
      <c r="D86" s="18"/>
      <c r="E86" s="18"/>
      <c r="F86" s="18"/>
    </row>
    <row r="87" spans="4:6" s="5" customFormat="1" x14ac:dyDescent="0.35">
      <c r="D87" s="18"/>
      <c r="E87" s="18"/>
      <c r="F87" s="18"/>
    </row>
    <row r="88" spans="4:6" s="5" customFormat="1" x14ac:dyDescent="0.35">
      <c r="D88" s="18"/>
      <c r="E88" s="18"/>
      <c r="F88" s="18"/>
    </row>
    <row r="89" spans="4:6" s="5" customFormat="1" x14ac:dyDescent="0.35">
      <c r="D89" s="18"/>
      <c r="E89" s="18"/>
      <c r="F89" s="18"/>
    </row>
    <row r="90" spans="4:6" s="5" customFormat="1" x14ac:dyDescent="0.35">
      <c r="D90" s="18"/>
      <c r="E90" s="18"/>
      <c r="F90" s="18"/>
    </row>
    <row r="91" spans="4:6" s="5" customFormat="1" x14ac:dyDescent="0.35">
      <c r="D91" s="18"/>
      <c r="E91" s="18"/>
      <c r="F91" s="18"/>
    </row>
    <row r="92" spans="4:6" s="5" customFormat="1" x14ac:dyDescent="0.35">
      <c r="D92" s="18"/>
      <c r="E92" s="18"/>
      <c r="F92" s="18"/>
    </row>
    <row r="93" spans="4:6" s="5" customFormat="1" x14ac:dyDescent="0.35">
      <c r="D93" s="18"/>
      <c r="E93" s="18"/>
      <c r="F93" s="18"/>
    </row>
    <row r="94" spans="4:6" s="5" customFormat="1" x14ac:dyDescent="0.35">
      <c r="D94" s="18"/>
      <c r="E94" s="18"/>
      <c r="F94" s="18"/>
    </row>
    <row r="95" spans="4:6" s="5" customFormat="1" x14ac:dyDescent="0.35">
      <c r="D95" s="18"/>
      <c r="E95" s="18"/>
      <c r="F95" s="18"/>
    </row>
    <row r="96" spans="4:6" s="5" customFormat="1" x14ac:dyDescent="0.35">
      <c r="D96" s="18"/>
      <c r="E96" s="18"/>
      <c r="F96" s="18"/>
    </row>
    <row r="97" spans="4:6" s="5" customFormat="1" x14ac:dyDescent="0.35">
      <c r="D97" s="18"/>
      <c r="E97" s="18"/>
      <c r="F97" s="18"/>
    </row>
    <row r="98" spans="4:6" s="5" customFormat="1" x14ac:dyDescent="0.35">
      <c r="D98" s="18"/>
      <c r="E98" s="18"/>
      <c r="F98" s="18"/>
    </row>
    <row r="99" spans="4:6" s="5" customFormat="1" x14ac:dyDescent="0.35">
      <c r="D99" s="18"/>
      <c r="E99" s="18"/>
      <c r="F99" s="18"/>
    </row>
    <row r="100" spans="4:6" s="5" customFormat="1" x14ac:dyDescent="0.35">
      <c r="D100" s="18"/>
      <c r="E100" s="18"/>
      <c r="F100" s="18"/>
    </row>
    <row r="101" spans="4:6" s="5" customFormat="1" x14ac:dyDescent="0.35">
      <c r="D101" s="18"/>
      <c r="E101" s="18"/>
      <c r="F101" s="18"/>
    </row>
    <row r="102" spans="4:6" s="5" customFormat="1" x14ac:dyDescent="0.35">
      <c r="D102" s="18"/>
      <c r="E102" s="18"/>
      <c r="F102" s="18"/>
    </row>
    <row r="103" spans="4:6" s="5" customFormat="1" x14ac:dyDescent="0.35">
      <c r="D103" s="18"/>
      <c r="E103" s="18"/>
      <c r="F103" s="18"/>
    </row>
    <row r="104" spans="4:6" s="5" customFormat="1" x14ac:dyDescent="0.35">
      <c r="D104" s="18"/>
      <c r="E104" s="18"/>
      <c r="F104" s="18"/>
    </row>
    <row r="105" spans="4:6" s="5" customFormat="1" x14ac:dyDescent="0.35">
      <c r="D105" s="18"/>
      <c r="E105" s="18"/>
      <c r="F105" s="18"/>
    </row>
    <row r="106" spans="4:6" s="5" customFormat="1" x14ac:dyDescent="0.35">
      <c r="D106" s="18"/>
      <c r="E106" s="18"/>
      <c r="F106" s="18"/>
    </row>
    <row r="107" spans="4:6" s="5" customFormat="1" x14ac:dyDescent="0.35">
      <c r="D107" s="18"/>
      <c r="E107" s="18"/>
      <c r="F107" s="18"/>
    </row>
    <row r="108" spans="4:6" s="5" customFormat="1" x14ac:dyDescent="0.35">
      <c r="D108" s="18"/>
      <c r="E108" s="18"/>
      <c r="F108" s="18"/>
    </row>
    <row r="109" spans="4:6" s="5" customFormat="1" x14ac:dyDescent="0.35">
      <c r="D109" s="18"/>
      <c r="E109" s="18"/>
      <c r="F109" s="18"/>
    </row>
    <row r="110" spans="4:6" s="5" customFormat="1" x14ac:dyDescent="0.35">
      <c r="D110" s="18"/>
      <c r="E110" s="18"/>
      <c r="F110" s="18"/>
    </row>
    <row r="111" spans="4:6" s="5" customFormat="1" x14ac:dyDescent="0.35">
      <c r="D111" s="18"/>
      <c r="E111" s="18"/>
      <c r="F111" s="18"/>
    </row>
  </sheetData>
  <mergeCells count="1">
    <mergeCell ref="A1:F1"/>
  </mergeCells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2"/>
  <sheetViews>
    <sheetView topLeftCell="B1" workbookViewId="0">
      <pane ySplit="1" topLeftCell="A59" activePane="bottomLeft" state="frozen"/>
      <selection pane="bottomLeft" activeCell="D66" sqref="D66:D72"/>
    </sheetView>
  </sheetViews>
  <sheetFormatPr baseColWidth="10" defaultRowHeight="14.5" x14ac:dyDescent="0.35"/>
  <cols>
    <col min="3" max="3" width="49.81640625" bestFit="1" customWidth="1"/>
    <col min="4" max="4" width="24.36328125" bestFit="1" customWidth="1"/>
  </cols>
  <sheetData>
    <row r="1" spans="1:10" ht="29" x14ac:dyDescent="0.35">
      <c r="A1" s="1" t="s">
        <v>0</v>
      </c>
      <c r="B1" s="1" t="s">
        <v>2</v>
      </c>
      <c r="C1" s="1" t="s">
        <v>1</v>
      </c>
      <c r="D1" s="1" t="s">
        <v>5</v>
      </c>
      <c r="E1" s="1" t="s">
        <v>3</v>
      </c>
      <c r="F1" s="1" t="s">
        <v>191</v>
      </c>
      <c r="G1" s="1" t="s">
        <v>192</v>
      </c>
      <c r="H1" s="1" t="s">
        <v>194</v>
      </c>
      <c r="I1" s="1" t="s">
        <v>193</v>
      </c>
      <c r="J1" s="1" t="s">
        <v>195</v>
      </c>
    </row>
    <row r="2" spans="1:10" x14ac:dyDescent="0.35">
      <c r="A2" s="2">
        <v>42762</v>
      </c>
      <c r="B2" s="2">
        <v>42766</v>
      </c>
      <c r="C2" t="s">
        <v>4</v>
      </c>
      <c r="D2" t="s">
        <v>6</v>
      </c>
      <c r="E2" s="10">
        <v>5821.2</v>
      </c>
    </row>
    <row r="3" spans="1:10" x14ac:dyDescent="0.35">
      <c r="A3" s="2">
        <v>42796</v>
      </c>
      <c r="B3" s="2">
        <v>42802</v>
      </c>
      <c r="C3" t="s">
        <v>29</v>
      </c>
      <c r="D3" t="s">
        <v>30</v>
      </c>
      <c r="E3" s="6">
        <v>60</v>
      </c>
      <c r="F3" s="6">
        <f>E3</f>
        <v>60</v>
      </c>
    </row>
    <row r="4" spans="1:10" x14ac:dyDescent="0.35">
      <c r="A4" s="2">
        <v>42797</v>
      </c>
      <c r="B4" s="2">
        <v>42797</v>
      </c>
      <c r="C4" t="s">
        <v>43</v>
      </c>
      <c r="D4" t="s">
        <v>44</v>
      </c>
      <c r="E4" s="6">
        <v>78.48</v>
      </c>
      <c r="F4" s="6">
        <f>E4</f>
        <v>78.48</v>
      </c>
    </row>
    <row r="5" spans="1:10" x14ac:dyDescent="0.35">
      <c r="A5" s="2">
        <v>42800</v>
      </c>
      <c r="B5" s="2">
        <v>42802</v>
      </c>
      <c r="C5" t="s">
        <v>47</v>
      </c>
      <c r="D5" t="s">
        <v>48</v>
      </c>
      <c r="E5" s="6">
        <v>340</v>
      </c>
      <c r="I5" s="6">
        <f>E5</f>
        <v>340</v>
      </c>
    </row>
    <row r="6" spans="1:10" x14ac:dyDescent="0.35">
      <c r="A6" s="2">
        <v>42808</v>
      </c>
      <c r="B6" s="2">
        <v>42808</v>
      </c>
      <c r="C6" t="s">
        <v>45</v>
      </c>
      <c r="D6" t="s">
        <v>46</v>
      </c>
      <c r="E6" s="6">
        <v>783.76</v>
      </c>
      <c r="H6" s="6">
        <f>E6</f>
        <v>783.76</v>
      </c>
    </row>
    <row r="7" spans="1:10" x14ac:dyDescent="0.35">
      <c r="A7" s="2">
        <v>42818</v>
      </c>
      <c r="B7" s="2">
        <v>42818</v>
      </c>
      <c r="C7" t="s">
        <v>52</v>
      </c>
      <c r="D7" t="s">
        <v>46</v>
      </c>
      <c r="E7" s="6">
        <v>387</v>
      </c>
      <c r="H7" s="6">
        <f>E7</f>
        <v>387</v>
      </c>
    </row>
    <row r="8" spans="1:10" x14ac:dyDescent="0.35">
      <c r="A8" s="2">
        <v>42823</v>
      </c>
      <c r="B8" s="2">
        <v>42823</v>
      </c>
      <c r="C8" t="s">
        <v>93</v>
      </c>
      <c r="D8" t="s">
        <v>94</v>
      </c>
      <c r="E8" s="6">
        <v>110.75</v>
      </c>
      <c r="G8" s="6">
        <f>E8</f>
        <v>110.75</v>
      </c>
    </row>
    <row r="9" spans="1:10" x14ac:dyDescent="0.35">
      <c r="A9" s="2">
        <v>42823</v>
      </c>
      <c r="B9" s="2">
        <v>42823</v>
      </c>
      <c r="C9" s="4" t="s">
        <v>175</v>
      </c>
      <c r="D9" s="4" t="s">
        <v>94</v>
      </c>
      <c r="E9" s="6">
        <v>110.75</v>
      </c>
      <c r="G9" s="6">
        <f t="shared" ref="G9:G20" si="0">E9</f>
        <v>110.75</v>
      </c>
    </row>
    <row r="10" spans="1:10" x14ac:dyDescent="0.35">
      <c r="A10" s="2">
        <v>42837</v>
      </c>
      <c r="B10" s="2">
        <v>42837</v>
      </c>
      <c r="C10" t="s">
        <v>59</v>
      </c>
      <c r="D10" t="s">
        <v>60</v>
      </c>
      <c r="E10" s="6">
        <v>549</v>
      </c>
      <c r="G10" s="6">
        <f t="shared" si="0"/>
        <v>549</v>
      </c>
    </row>
    <row r="11" spans="1:10" x14ac:dyDescent="0.35">
      <c r="A11" s="2">
        <v>42844</v>
      </c>
      <c r="B11" s="2">
        <v>42857</v>
      </c>
      <c r="C11" t="s">
        <v>69</v>
      </c>
      <c r="D11" t="s">
        <v>68</v>
      </c>
      <c r="E11" s="6">
        <v>1512</v>
      </c>
      <c r="J11" s="6">
        <f>E11</f>
        <v>1512</v>
      </c>
    </row>
    <row r="12" spans="1:10" x14ac:dyDescent="0.35">
      <c r="A12" s="2">
        <v>42845</v>
      </c>
      <c r="B12" s="2">
        <v>42845</v>
      </c>
      <c r="C12" t="s">
        <v>95</v>
      </c>
      <c r="D12" t="s">
        <v>96</v>
      </c>
      <c r="E12" s="6">
        <v>558</v>
      </c>
      <c r="G12" s="6">
        <f t="shared" si="0"/>
        <v>558</v>
      </c>
    </row>
    <row r="13" spans="1:10" x14ac:dyDescent="0.35">
      <c r="A13" s="2">
        <v>42846</v>
      </c>
      <c r="B13" s="2">
        <v>42846</v>
      </c>
      <c r="C13" t="s">
        <v>65</v>
      </c>
      <c r="D13" t="s">
        <v>66</v>
      </c>
      <c r="E13" s="6">
        <v>80.92</v>
      </c>
      <c r="G13" s="6">
        <f t="shared" si="0"/>
        <v>80.92</v>
      </c>
    </row>
    <row r="14" spans="1:10" x14ac:dyDescent="0.35">
      <c r="A14" s="2">
        <v>42846</v>
      </c>
      <c r="B14" s="2">
        <v>42846</v>
      </c>
      <c r="C14" t="s">
        <v>67</v>
      </c>
      <c r="D14" t="s">
        <v>66</v>
      </c>
      <c r="E14" s="6">
        <v>16.989999999999998</v>
      </c>
      <c r="F14" s="6">
        <f>E14</f>
        <v>16.989999999999998</v>
      </c>
    </row>
    <row r="15" spans="1:10" x14ac:dyDescent="0.35">
      <c r="A15" s="2">
        <v>42863</v>
      </c>
      <c r="B15" s="2">
        <v>42863</v>
      </c>
      <c r="C15" t="s">
        <v>71</v>
      </c>
      <c r="D15" t="s">
        <v>60</v>
      </c>
      <c r="E15" s="6">
        <v>239</v>
      </c>
      <c r="G15" s="6">
        <f t="shared" si="0"/>
        <v>239</v>
      </c>
    </row>
    <row r="16" spans="1:10" x14ac:dyDescent="0.35">
      <c r="A16" s="2">
        <v>42870</v>
      </c>
      <c r="B16" s="2">
        <v>42870</v>
      </c>
      <c r="C16" t="s">
        <v>138</v>
      </c>
      <c r="D16" t="s">
        <v>139</v>
      </c>
      <c r="E16" s="6">
        <v>799</v>
      </c>
      <c r="H16" s="6">
        <f>E16</f>
        <v>799</v>
      </c>
    </row>
    <row r="17" spans="1:8" x14ac:dyDescent="0.35">
      <c r="A17" s="3">
        <v>42894</v>
      </c>
      <c r="B17" s="3">
        <v>42937</v>
      </c>
      <c r="C17" s="4" t="s">
        <v>81</v>
      </c>
      <c r="D17" s="4" t="s">
        <v>77</v>
      </c>
      <c r="E17" s="11">
        <v>285</v>
      </c>
      <c r="G17" s="6">
        <f t="shared" si="0"/>
        <v>285</v>
      </c>
    </row>
    <row r="18" spans="1:8" x14ac:dyDescent="0.35">
      <c r="A18" s="3">
        <v>42903</v>
      </c>
      <c r="B18" s="3">
        <v>42956</v>
      </c>
      <c r="C18" s="4" t="s">
        <v>82</v>
      </c>
      <c r="D18" s="4" t="s">
        <v>77</v>
      </c>
      <c r="E18" s="11">
        <v>334.4</v>
      </c>
      <c r="G18" s="6">
        <f t="shared" si="0"/>
        <v>334.4</v>
      </c>
    </row>
    <row r="19" spans="1:8" x14ac:dyDescent="0.35">
      <c r="A19" s="2">
        <v>42907</v>
      </c>
      <c r="B19" s="2">
        <v>42907</v>
      </c>
      <c r="C19" t="s">
        <v>88</v>
      </c>
      <c r="D19" t="s">
        <v>66</v>
      </c>
      <c r="E19" s="6">
        <v>338.02</v>
      </c>
      <c r="F19" s="11"/>
      <c r="G19" s="6">
        <f t="shared" si="0"/>
        <v>338.02</v>
      </c>
      <c r="H19" s="11"/>
    </row>
    <row r="20" spans="1:8" x14ac:dyDescent="0.35">
      <c r="A20" s="3">
        <v>42916</v>
      </c>
      <c r="B20" s="3">
        <v>42958</v>
      </c>
      <c r="C20" s="4" t="s">
        <v>86</v>
      </c>
      <c r="D20" s="4" t="s">
        <v>85</v>
      </c>
      <c r="E20" s="11">
        <v>173.22</v>
      </c>
      <c r="F20" s="11"/>
      <c r="G20" s="6">
        <f t="shared" si="0"/>
        <v>173.22</v>
      </c>
      <c r="H20" s="11"/>
    </row>
    <row r="21" spans="1:8" x14ac:dyDescent="0.35">
      <c r="A21" s="3">
        <v>42922</v>
      </c>
      <c r="B21" s="3">
        <v>42930</v>
      </c>
      <c r="C21" s="4" t="s">
        <v>75</v>
      </c>
      <c r="D21" s="4" t="s">
        <v>76</v>
      </c>
      <c r="E21" s="11">
        <v>1339.72</v>
      </c>
      <c r="F21" s="6">
        <f>E21</f>
        <v>1339.72</v>
      </c>
      <c r="G21" s="11"/>
      <c r="H21" s="11"/>
    </row>
    <row r="22" spans="1:8" x14ac:dyDescent="0.35">
      <c r="A22" s="2">
        <v>42936</v>
      </c>
      <c r="B22" s="2">
        <v>42942</v>
      </c>
      <c r="C22" t="s">
        <v>78</v>
      </c>
      <c r="D22" t="s">
        <v>46</v>
      </c>
      <c r="E22" s="6">
        <v>804.94</v>
      </c>
      <c r="F22" s="11"/>
      <c r="G22" s="11"/>
      <c r="H22" s="6">
        <f>E22</f>
        <v>804.94</v>
      </c>
    </row>
    <row r="23" spans="1:8" x14ac:dyDescent="0.35">
      <c r="A23" s="3">
        <v>42951</v>
      </c>
      <c r="B23" s="3">
        <v>42958</v>
      </c>
      <c r="C23" s="4" t="s">
        <v>84</v>
      </c>
      <c r="D23" s="4" t="s">
        <v>85</v>
      </c>
      <c r="E23" s="11">
        <f>219.46-71.08</f>
        <v>148.38</v>
      </c>
      <c r="F23" s="11"/>
      <c r="G23" s="6">
        <f t="shared" ref="G23:G25" si="1">E23</f>
        <v>148.38</v>
      </c>
      <c r="H23" s="11"/>
    </row>
    <row r="24" spans="1:8" x14ac:dyDescent="0.35">
      <c r="A24" s="2">
        <v>42984</v>
      </c>
      <c r="B24" s="2">
        <v>42984</v>
      </c>
      <c r="C24" t="s">
        <v>90</v>
      </c>
      <c r="D24" t="s">
        <v>66</v>
      </c>
      <c r="E24" s="6">
        <v>85.42</v>
      </c>
      <c r="G24" s="6">
        <f t="shared" si="1"/>
        <v>85.42</v>
      </c>
    </row>
    <row r="25" spans="1:8" x14ac:dyDescent="0.35">
      <c r="A25" s="2">
        <v>42991</v>
      </c>
      <c r="B25" s="2">
        <v>43073</v>
      </c>
      <c r="C25" s="4" t="s">
        <v>124</v>
      </c>
      <c r="D25" s="4" t="s">
        <v>77</v>
      </c>
      <c r="E25" s="6">
        <v>150</v>
      </c>
      <c r="G25" s="6">
        <f t="shared" si="1"/>
        <v>150</v>
      </c>
    </row>
    <row r="26" spans="1:8" x14ac:dyDescent="0.35">
      <c r="A26" s="2">
        <v>43054</v>
      </c>
      <c r="B26" s="2">
        <v>43061</v>
      </c>
      <c r="C26" t="s">
        <v>29</v>
      </c>
      <c r="D26" t="s">
        <v>30</v>
      </c>
      <c r="E26" s="6">
        <v>136.56</v>
      </c>
      <c r="F26" s="6">
        <f>E26</f>
        <v>136.56</v>
      </c>
    </row>
    <row r="27" spans="1:8" ht="15" thickBot="1" x14ac:dyDescent="0.4">
      <c r="A27" s="36">
        <v>43069</v>
      </c>
      <c r="B27" s="36">
        <v>43069</v>
      </c>
      <c r="C27" s="37" t="s">
        <v>122</v>
      </c>
      <c r="D27" s="37" t="s">
        <v>123</v>
      </c>
      <c r="E27" s="38">
        <f>49.98+11.98</f>
        <v>61.959999999999994</v>
      </c>
      <c r="F27" s="38">
        <f>E27</f>
        <v>61.959999999999994</v>
      </c>
      <c r="G27" s="39"/>
      <c r="H27" s="39"/>
    </row>
    <row r="28" spans="1:8" x14ac:dyDescent="0.35">
      <c r="A28" s="40">
        <v>43101</v>
      </c>
      <c r="B28" s="40">
        <v>43103</v>
      </c>
      <c r="C28" s="34" t="s">
        <v>187</v>
      </c>
      <c r="D28" s="34" t="s">
        <v>188</v>
      </c>
      <c r="E28" s="41">
        <v>194.87</v>
      </c>
      <c r="F28" s="42"/>
      <c r="G28" s="42"/>
      <c r="H28" s="6">
        <f>E28</f>
        <v>194.87</v>
      </c>
    </row>
    <row r="29" spans="1:8" x14ac:dyDescent="0.35">
      <c r="A29" s="2">
        <v>43118</v>
      </c>
      <c r="B29" s="2">
        <v>43118</v>
      </c>
      <c r="C29" s="4" t="s">
        <v>129</v>
      </c>
      <c r="D29" s="4" t="s">
        <v>130</v>
      </c>
      <c r="E29" s="6">
        <v>93.6</v>
      </c>
      <c r="F29" s="6">
        <f>E29</f>
        <v>93.6</v>
      </c>
    </row>
    <row r="30" spans="1:8" x14ac:dyDescent="0.35">
      <c r="A30" s="2">
        <v>43119</v>
      </c>
      <c r="B30" s="2">
        <v>43119</v>
      </c>
      <c r="C30" s="4" t="s">
        <v>131</v>
      </c>
      <c r="D30" s="4" t="s">
        <v>130</v>
      </c>
      <c r="E30" s="6">
        <v>13.55</v>
      </c>
      <c r="F30" s="6">
        <f>E30</f>
        <v>13.55</v>
      </c>
    </row>
    <row r="31" spans="1:8" x14ac:dyDescent="0.35">
      <c r="A31" s="2">
        <v>43125</v>
      </c>
      <c r="B31" s="2">
        <v>43125</v>
      </c>
      <c r="C31" s="4" t="s">
        <v>133</v>
      </c>
      <c r="D31" s="4" t="s">
        <v>132</v>
      </c>
      <c r="E31" s="6">
        <v>369</v>
      </c>
      <c r="F31" s="6">
        <f t="shared" ref="F31:F32" si="2">E31</f>
        <v>369</v>
      </c>
    </row>
    <row r="32" spans="1:8" x14ac:dyDescent="0.35">
      <c r="A32" s="2">
        <v>43126</v>
      </c>
      <c r="C32" s="4" t="s">
        <v>133</v>
      </c>
      <c r="D32" s="4" t="s">
        <v>132</v>
      </c>
      <c r="E32" s="6">
        <v>369</v>
      </c>
      <c r="F32" s="6">
        <f t="shared" si="2"/>
        <v>369</v>
      </c>
    </row>
    <row r="33" spans="1:7" x14ac:dyDescent="0.35">
      <c r="A33" s="2">
        <v>43190</v>
      </c>
      <c r="B33" s="2">
        <v>43207</v>
      </c>
      <c r="C33" s="4" t="s">
        <v>144</v>
      </c>
      <c r="D33" s="4" t="s">
        <v>143</v>
      </c>
      <c r="E33" s="6">
        <v>72</v>
      </c>
      <c r="G33" s="6">
        <f>E33</f>
        <v>72</v>
      </c>
    </row>
    <row r="34" spans="1:7" x14ac:dyDescent="0.35">
      <c r="A34" s="2">
        <v>43193</v>
      </c>
      <c r="B34" s="2">
        <v>43200</v>
      </c>
      <c r="C34" s="4" t="s">
        <v>141</v>
      </c>
      <c r="D34" s="4" t="s">
        <v>142</v>
      </c>
      <c r="E34" s="6">
        <v>2850</v>
      </c>
      <c r="F34" s="6">
        <f>E34</f>
        <v>2850</v>
      </c>
    </row>
    <row r="35" spans="1:7" x14ac:dyDescent="0.35">
      <c r="A35" s="2">
        <v>43199</v>
      </c>
      <c r="C35" s="4" t="s">
        <v>136</v>
      </c>
      <c r="D35" s="4" t="s">
        <v>135</v>
      </c>
      <c r="E35" s="6">
        <v>206.1</v>
      </c>
      <c r="G35" s="6">
        <f t="shared" ref="G35:G37" si="3">E35</f>
        <v>206.1</v>
      </c>
    </row>
    <row r="36" spans="1:7" x14ac:dyDescent="0.35">
      <c r="A36" s="2">
        <v>43207</v>
      </c>
      <c r="B36" s="2">
        <v>43207</v>
      </c>
      <c r="C36" s="4" t="s">
        <v>184</v>
      </c>
      <c r="D36" s="4" t="s">
        <v>177</v>
      </c>
      <c r="E36" s="6">
        <v>8.06</v>
      </c>
      <c r="G36" s="6">
        <f t="shared" si="3"/>
        <v>8.06</v>
      </c>
    </row>
    <row r="37" spans="1:7" x14ac:dyDescent="0.35">
      <c r="A37" s="2">
        <v>43220</v>
      </c>
      <c r="B37" s="2">
        <v>43220</v>
      </c>
      <c r="C37" s="4" t="s">
        <v>182</v>
      </c>
      <c r="D37" s="4" t="s">
        <v>177</v>
      </c>
      <c r="E37" s="6">
        <v>58.9</v>
      </c>
      <c r="G37" s="6">
        <f t="shared" si="3"/>
        <v>58.9</v>
      </c>
    </row>
    <row r="38" spans="1:7" x14ac:dyDescent="0.35">
      <c r="A38" s="2">
        <v>43221</v>
      </c>
      <c r="B38" s="2">
        <v>43250</v>
      </c>
      <c r="C38" s="4" t="s">
        <v>147</v>
      </c>
      <c r="D38" t="s">
        <v>146</v>
      </c>
      <c r="E38" s="6">
        <v>68.64</v>
      </c>
      <c r="F38" s="6">
        <f t="shared" ref="F38:F39" si="4">E38</f>
        <v>68.64</v>
      </c>
    </row>
    <row r="39" spans="1:7" x14ac:dyDescent="0.35">
      <c r="A39" s="2">
        <v>43221</v>
      </c>
      <c r="B39" s="2">
        <v>43250</v>
      </c>
      <c r="C39" s="4" t="s">
        <v>148</v>
      </c>
      <c r="D39" t="s">
        <v>146</v>
      </c>
      <c r="E39" s="6">
        <v>69.64</v>
      </c>
      <c r="F39" s="6">
        <f t="shared" si="4"/>
        <v>69.64</v>
      </c>
    </row>
    <row r="40" spans="1:7" x14ac:dyDescent="0.35">
      <c r="A40" s="2">
        <v>43222</v>
      </c>
      <c r="B40" s="2">
        <v>43232</v>
      </c>
      <c r="C40" s="4" t="s">
        <v>172</v>
      </c>
      <c r="D40" s="4" t="s">
        <v>44</v>
      </c>
      <c r="E40" s="6">
        <v>10.28</v>
      </c>
      <c r="F40" s="6">
        <f>E40</f>
        <v>10.28</v>
      </c>
    </row>
    <row r="41" spans="1:7" x14ac:dyDescent="0.35">
      <c r="A41" s="2">
        <v>43223</v>
      </c>
      <c r="B41" s="2">
        <v>43223</v>
      </c>
      <c r="C41" s="4" t="s">
        <v>180</v>
      </c>
      <c r="D41" s="4" t="s">
        <v>177</v>
      </c>
      <c r="E41" s="6">
        <v>31.26</v>
      </c>
      <c r="G41" s="6">
        <f t="shared" ref="G41:G48" si="5">E41</f>
        <v>31.26</v>
      </c>
    </row>
    <row r="42" spans="1:7" x14ac:dyDescent="0.35">
      <c r="A42" s="2">
        <v>43229</v>
      </c>
      <c r="B42" s="2">
        <v>43229</v>
      </c>
      <c r="C42" s="4" t="s">
        <v>183</v>
      </c>
      <c r="D42" s="4" t="s">
        <v>177</v>
      </c>
      <c r="E42" s="6">
        <v>9.4499999999999993</v>
      </c>
      <c r="G42" s="6">
        <f t="shared" si="5"/>
        <v>9.4499999999999993</v>
      </c>
    </row>
    <row r="43" spans="1:7" x14ac:dyDescent="0.35">
      <c r="A43" s="2">
        <v>43237</v>
      </c>
      <c r="B43" s="2">
        <v>43237</v>
      </c>
      <c r="C43" s="4" t="s">
        <v>181</v>
      </c>
      <c r="D43" s="4" t="s">
        <v>177</v>
      </c>
      <c r="E43" s="6">
        <v>20.05</v>
      </c>
      <c r="G43" s="6">
        <f t="shared" si="5"/>
        <v>20.05</v>
      </c>
    </row>
    <row r="44" spans="1:7" x14ac:dyDescent="0.35">
      <c r="A44" s="2">
        <v>43245</v>
      </c>
      <c r="B44" s="2">
        <v>43245</v>
      </c>
      <c r="C44" s="4" t="s">
        <v>180</v>
      </c>
      <c r="D44" s="4" t="s">
        <v>177</v>
      </c>
      <c r="E44" s="6">
        <v>45.24</v>
      </c>
      <c r="G44" s="6">
        <f t="shared" si="5"/>
        <v>45.24</v>
      </c>
    </row>
    <row r="45" spans="1:7" x14ac:dyDescent="0.35">
      <c r="A45" s="2">
        <v>43246</v>
      </c>
      <c r="B45" s="2">
        <v>43246</v>
      </c>
      <c r="C45" s="4" t="s">
        <v>179</v>
      </c>
      <c r="D45" s="4" t="s">
        <v>177</v>
      </c>
      <c r="E45" s="6">
        <v>60.58</v>
      </c>
      <c r="G45" s="6">
        <f t="shared" si="5"/>
        <v>60.58</v>
      </c>
    </row>
    <row r="46" spans="1:7" x14ac:dyDescent="0.35">
      <c r="A46" s="2">
        <v>43264</v>
      </c>
      <c r="B46" s="2">
        <v>43264</v>
      </c>
      <c r="C46" s="4" t="s">
        <v>178</v>
      </c>
      <c r="D46" s="4" t="s">
        <v>177</v>
      </c>
      <c r="E46" s="6">
        <v>7.8</v>
      </c>
      <c r="G46" s="6">
        <f t="shared" si="5"/>
        <v>7.8</v>
      </c>
    </row>
    <row r="47" spans="1:7" x14ac:dyDescent="0.35">
      <c r="A47" s="2">
        <v>43278</v>
      </c>
      <c r="B47" s="2">
        <v>43287</v>
      </c>
      <c r="C47" s="4" t="s">
        <v>185</v>
      </c>
      <c r="D47" s="4" t="s">
        <v>177</v>
      </c>
      <c r="E47" s="6">
        <v>51.89</v>
      </c>
      <c r="G47" s="6">
        <f t="shared" si="5"/>
        <v>51.89</v>
      </c>
    </row>
    <row r="48" spans="1:7" x14ac:dyDescent="0.35">
      <c r="A48" s="2">
        <v>43285</v>
      </c>
      <c r="B48" s="2">
        <v>43285</v>
      </c>
      <c r="C48" s="4" t="s">
        <v>176</v>
      </c>
      <c r="D48" s="4" t="s">
        <v>177</v>
      </c>
      <c r="E48" s="6">
        <v>8.77</v>
      </c>
      <c r="G48" s="6">
        <f t="shared" si="5"/>
        <v>8.77</v>
      </c>
    </row>
    <row r="49" spans="1:9" x14ac:dyDescent="0.35">
      <c r="A49" s="2">
        <v>43382</v>
      </c>
      <c r="B49" s="2">
        <v>43382</v>
      </c>
      <c r="C49" s="4" t="s">
        <v>152</v>
      </c>
      <c r="D49" s="4" t="s">
        <v>151</v>
      </c>
      <c r="E49" s="6">
        <v>33.6</v>
      </c>
      <c r="F49" s="6">
        <f>E49</f>
        <v>33.6</v>
      </c>
    </row>
    <row r="50" spans="1:9" ht="15" thickBot="1" x14ac:dyDescent="0.4">
      <c r="A50" s="36">
        <v>43449</v>
      </c>
      <c r="B50" s="36">
        <v>43449</v>
      </c>
      <c r="C50" s="37" t="s">
        <v>163</v>
      </c>
      <c r="D50" s="37" t="s">
        <v>28</v>
      </c>
      <c r="E50" s="39"/>
      <c r="F50" s="6">
        <f>E50</f>
        <v>0</v>
      </c>
      <c r="G50" s="39"/>
      <c r="H50" s="39"/>
      <c r="I50" s="39"/>
    </row>
    <row r="51" spans="1:9" x14ac:dyDescent="0.35">
      <c r="A51" s="40">
        <v>43466</v>
      </c>
      <c r="B51" s="40">
        <v>43107</v>
      </c>
      <c r="C51" s="34" t="s">
        <v>187</v>
      </c>
      <c r="D51" s="34" t="s">
        <v>188</v>
      </c>
      <c r="E51" s="41">
        <v>197.47</v>
      </c>
      <c r="F51" s="42"/>
      <c r="G51" s="42"/>
      <c r="H51" s="6">
        <f>E51</f>
        <v>197.47</v>
      </c>
      <c r="I51" s="42"/>
    </row>
    <row r="52" spans="1:9" x14ac:dyDescent="0.35">
      <c r="A52" s="2">
        <v>43495</v>
      </c>
      <c r="B52" s="2">
        <v>43502</v>
      </c>
      <c r="C52" s="4" t="s">
        <v>186</v>
      </c>
      <c r="D52" s="4" t="s">
        <v>177</v>
      </c>
      <c r="E52" s="6">
        <v>937</v>
      </c>
      <c r="F52" s="6">
        <f>E52</f>
        <v>937</v>
      </c>
    </row>
    <row r="53" spans="1:9" x14ac:dyDescent="0.35">
      <c r="A53" s="2">
        <v>43565</v>
      </c>
      <c r="B53" s="2">
        <v>43570</v>
      </c>
      <c r="C53" s="4" t="s">
        <v>158</v>
      </c>
      <c r="D53" s="4" t="s">
        <v>159</v>
      </c>
      <c r="E53" s="6">
        <v>104.16</v>
      </c>
      <c r="F53" s="6">
        <f>E53</f>
        <v>104.16</v>
      </c>
    </row>
    <row r="54" spans="1:9" x14ac:dyDescent="0.35">
      <c r="A54" s="2">
        <v>43592</v>
      </c>
      <c r="B54" s="2">
        <v>43633</v>
      </c>
      <c r="C54" s="4" t="s">
        <v>171</v>
      </c>
      <c r="D54" s="4" t="s">
        <v>146</v>
      </c>
      <c r="E54" s="6">
        <v>70.56</v>
      </c>
      <c r="F54" s="6">
        <f t="shared" ref="F54:F55" si="6">E54</f>
        <v>70.56</v>
      </c>
    </row>
    <row r="55" spans="1:9" x14ac:dyDescent="0.35">
      <c r="A55" s="2">
        <v>43592</v>
      </c>
      <c r="B55" s="2">
        <v>43633</v>
      </c>
      <c r="C55" s="4" t="s">
        <v>170</v>
      </c>
      <c r="D55" s="4" t="s">
        <v>146</v>
      </c>
      <c r="E55" s="6">
        <v>70.56</v>
      </c>
      <c r="F55" s="6">
        <f t="shared" si="6"/>
        <v>70.56</v>
      </c>
    </row>
    <row r="56" spans="1:9" x14ac:dyDescent="0.35">
      <c r="A56" s="2">
        <v>43600</v>
      </c>
      <c r="B56" s="2">
        <v>43581</v>
      </c>
      <c r="C56" s="4" t="s">
        <v>173</v>
      </c>
      <c r="D56" s="4" t="s">
        <v>174</v>
      </c>
      <c r="E56" s="6">
        <v>93.48</v>
      </c>
      <c r="G56" s="6">
        <f t="shared" ref="G56" si="7">E56</f>
        <v>93.48</v>
      </c>
    </row>
    <row r="57" spans="1:9" x14ac:dyDescent="0.35">
      <c r="A57" s="2">
        <v>43609</v>
      </c>
      <c r="B57" s="2">
        <v>43616</v>
      </c>
      <c r="C57" s="4" t="s">
        <v>160</v>
      </c>
      <c r="D57" s="4" t="s">
        <v>151</v>
      </c>
      <c r="E57" s="6">
        <v>167.28</v>
      </c>
      <c r="F57" s="6">
        <f>E57</f>
        <v>167.28</v>
      </c>
    </row>
    <row r="58" spans="1:9" x14ac:dyDescent="0.35">
      <c r="A58" s="2">
        <v>43622</v>
      </c>
      <c r="B58" s="2">
        <v>43633</v>
      </c>
      <c r="C58" s="4" t="s">
        <v>161</v>
      </c>
      <c r="D58" s="4" t="s">
        <v>151</v>
      </c>
      <c r="E58" s="6">
        <v>127.24</v>
      </c>
      <c r="F58" s="6">
        <f>E58</f>
        <v>127.24</v>
      </c>
    </row>
    <row r="59" spans="1:9" x14ac:dyDescent="0.35">
      <c r="A59" s="2">
        <v>43642</v>
      </c>
      <c r="B59" s="2">
        <v>43655</v>
      </c>
      <c r="C59" s="4" t="s">
        <v>165</v>
      </c>
      <c r="D59" s="4" t="s">
        <v>162</v>
      </c>
      <c r="E59" s="6">
        <v>210</v>
      </c>
      <c r="G59" s="6">
        <f t="shared" ref="G59:G61" si="8">E59</f>
        <v>210</v>
      </c>
    </row>
    <row r="60" spans="1:9" x14ac:dyDescent="0.35">
      <c r="A60" s="2">
        <v>43649</v>
      </c>
      <c r="B60" s="2">
        <v>43649</v>
      </c>
      <c r="C60" s="4" t="s">
        <v>166</v>
      </c>
      <c r="D60" s="4" t="s">
        <v>135</v>
      </c>
      <c r="E60" s="6">
        <v>844.91</v>
      </c>
      <c r="G60" s="6">
        <f t="shared" si="8"/>
        <v>844.91</v>
      </c>
    </row>
    <row r="61" spans="1:9" x14ac:dyDescent="0.35">
      <c r="A61" s="2">
        <v>43649</v>
      </c>
      <c r="B61" s="2">
        <v>43649</v>
      </c>
      <c r="C61" s="4" t="s">
        <v>167</v>
      </c>
      <c r="D61" s="4" t="s">
        <v>135</v>
      </c>
      <c r="E61">
        <f>47.96+14.99+0.75+59.9</f>
        <v>123.6</v>
      </c>
      <c r="G61" s="6">
        <f t="shared" si="8"/>
        <v>123.6</v>
      </c>
    </row>
    <row r="62" spans="1:9" x14ac:dyDescent="0.35">
      <c r="A62" s="2">
        <v>43675</v>
      </c>
      <c r="B62" s="2">
        <v>43675</v>
      </c>
      <c r="C62" s="4" t="s">
        <v>189</v>
      </c>
      <c r="D62" s="4" t="s">
        <v>44</v>
      </c>
      <c r="E62" s="6">
        <v>209.44</v>
      </c>
      <c r="F62" s="6">
        <f>E62</f>
        <v>209.44</v>
      </c>
    </row>
    <row r="63" spans="1:9" x14ac:dyDescent="0.35">
      <c r="A63" s="2">
        <v>43678</v>
      </c>
      <c r="B63" s="2">
        <v>43364</v>
      </c>
      <c r="C63" s="4" t="s">
        <v>164</v>
      </c>
      <c r="D63" s="4" t="s">
        <v>162</v>
      </c>
      <c r="E63" s="6">
        <v>250</v>
      </c>
      <c r="G63" s="6">
        <f t="shared" ref="G63" si="9">E63</f>
        <v>250</v>
      </c>
    </row>
    <row r="64" spans="1:9" x14ac:dyDescent="0.35">
      <c r="A64" s="2">
        <v>43709</v>
      </c>
      <c r="C64" s="4" t="s">
        <v>168</v>
      </c>
      <c r="D64" s="4" t="s">
        <v>169</v>
      </c>
      <c r="E64" s="6">
        <v>24.79</v>
      </c>
      <c r="F64" s="6">
        <f>E64</f>
        <v>24.79</v>
      </c>
    </row>
    <row r="65" spans="1:11" x14ac:dyDescent="0.35">
      <c r="A65" s="2">
        <v>43773</v>
      </c>
      <c r="B65" s="2">
        <v>43773</v>
      </c>
      <c r="C65" s="4" t="s">
        <v>190</v>
      </c>
      <c r="D65" s="4" t="s">
        <v>177</v>
      </c>
      <c r="E65" s="6">
        <v>5.2</v>
      </c>
      <c r="G65" s="6">
        <f t="shared" ref="G65" si="10">E65</f>
        <v>5.2</v>
      </c>
    </row>
    <row r="66" spans="1:11" x14ac:dyDescent="0.35">
      <c r="D66" s="4"/>
      <c r="E66" s="6"/>
      <c r="F66" s="6"/>
      <c r="G66" s="6"/>
      <c r="H66" s="6"/>
      <c r="I66" s="6"/>
      <c r="J66" s="6"/>
      <c r="K66" s="6"/>
    </row>
    <row r="67" spans="1:11" x14ac:dyDescent="0.35">
      <c r="D67" s="4"/>
      <c r="K67" s="6"/>
    </row>
    <row r="68" spans="1:11" x14ac:dyDescent="0.35">
      <c r="D68" s="4"/>
    </row>
    <row r="69" spans="1:11" x14ac:dyDescent="0.35">
      <c r="D69" s="4"/>
    </row>
    <row r="70" spans="1:11" x14ac:dyDescent="0.35">
      <c r="D70" s="4"/>
    </row>
    <row r="71" spans="1:11" x14ac:dyDescent="0.35">
      <c r="D71" s="4"/>
    </row>
    <row r="72" spans="1:11" x14ac:dyDescent="0.35">
      <c r="D72" s="4"/>
    </row>
  </sheetData>
  <sortState xmlns:xlrd2="http://schemas.microsoft.com/office/spreadsheetml/2017/richdata2" ref="A2:E72">
    <sortCondition ref="A1"/>
  </sortState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2"/>
  <sheetViews>
    <sheetView tabSelected="1" topLeftCell="B1" zoomScale="80" zoomScaleNormal="80" workbookViewId="0">
      <pane ySplit="2" topLeftCell="A21" activePane="bottomLeft" state="frozen"/>
      <selection pane="bottomLeft" activeCell="M52" sqref="M52"/>
    </sheetView>
  </sheetViews>
  <sheetFormatPr baseColWidth="10" defaultRowHeight="14.5" x14ac:dyDescent="0.35"/>
  <cols>
    <col min="3" max="3" width="17.36328125" customWidth="1"/>
    <col min="4" max="4" width="9.26953125" customWidth="1"/>
    <col min="5" max="5" width="11" customWidth="1"/>
    <col min="9" max="9" width="3.08984375" customWidth="1"/>
    <col min="10" max="10" width="6.7265625" bestFit="1" customWidth="1"/>
    <col min="11" max="11" width="3.7265625" customWidth="1"/>
    <col min="13" max="13" width="12.26953125" customWidth="1"/>
    <col min="14" max="14" width="7.08984375" customWidth="1"/>
    <col min="15" max="15" width="9.81640625" customWidth="1"/>
    <col min="16" max="16" width="1.6328125" customWidth="1"/>
    <col min="18" max="18" width="11.7265625" customWidth="1"/>
  </cols>
  <sheetData>
    <row r="1" spans="1:19" s="1" customFormat="1" x14ac:dyDescent="0.35">
      <c r="F1" s="27"/>
      <c r="G1" s="27"/>
      <c r="H1" s="27"/>
      <c r="I1" s="27"/>
      <c r="J1" s="27"/>
      <c r="K1" s="27"/>
      <c r="L1" s="50" t="s">
        <v>36</v>
      </c>
      <c r="M1" s="50"/>
      <c r="N1" s="50"/>
      <c r="O1" s="28"/>
      <c r="P1" s="27"/>
      <c r="Q1" s="50" t="s">
        <v>40</v>
      </c>
      <c r="R1" s="50"/>
      <c r="S1" s="50"/>
    </row>
    <row r="2" spans="1:19" ht="58" x14ac:dyDescent="0.35">
      <c r="A2" s="1" t="s">
        <v>0</v>
      </c>
      <c r="B2" s="1" t="s">
        <v>31</v>
      </c>
      <c r="C2" s="1" t="s">
        <v>21</v>
      </c>
      <c r="D2" s="1" t="s">
        <v>26</v>
      </c>
      <c r="E2" s="1" t="s">
        <v>211</v>
      </c>
      <c r="F2" s="27" t="s">
        <v>35</v>
      </c>
      <c r="G2" s="27" t="s">
        <v>32</v>
      </c>
      <c r="H2" s="27" t="s">
        <v>33</v>
      </c>
      <c r="I2" s="27"/>
      <c r="J2" s="27" t="s">
        <v>34</v>
      </c>
      <c r="K2" s="27"/>
      <c r="L2" s="27" t="s">
        <v>37</v>
      </c>
      <c r="M2" s="27" t="s">
        <v>38</v>
      </c>
      <c r="N2" s="27" t="s">
        <v>39</v>
      </c>
      <c r="O2" s="27" t="s">
        <v>126</v>
      </c>
      <c r="P2" s="6"/>
      <c r="Q2" s="27" t="s">
        <v>41</v>
      </c>
      <c r="R2" s="27" t="s">
        <v>38</v>
      </c>
      <c r="S2" s="27" t="s">
        <v>39</v>
      </c>
    </row>
    <row r="3" spans="1:19" x14ac:dyDescent="0.35">
      <c r="A3" s="1"/>
      <c r="B3" s="1"/>
      <c r="C3" s="1" t="s">
        <v>57</v>
      </c>
      <c r="D3" s="27">
        <f>F3*1.2-L3</f>
        <v>15.79</v>
      </c>
      <c r="E3" s="1"/>
      <c r="F3" s="27">
        <v>33.25</v>
      </c>
      <c r="G3" s="27"/>
      <c r="H3" s="27"/>
      <c r="I3" s="27"/>
      <c r="J3" s="27"/>
      <c r="K3" s="27"/>
      <c r="L3" s="27">
        <v>24.11</v>
      </c>
      <c r="M3" s="27"/>
      <c r="N3" s="27"/>
      <c r="O3" s="27"/>
      <c r="P3" s="6"/>
      <c r="Q3" s="27"/>
      <c r="R3" s="27"/>
      <c r="S3" s="27"/>
    </row>
    <row r="4" spans="1:19" x14ac:dyDescent="0.35">
      <c r="A4" s="2">
        <v>42768</v>
      </c>
      <c r="C4" t="s">
        <v>58</v>
      </c>
      <c r="D4" s="27">
        <f t="shared" ref="D3:D34" si="0">(F4+G4+H4)*1.2+E4</f>
        <v>85.548000000000002</v>
      </c>
      <c r="F4" s="6">
        <v>33.25</v>
      </c>
      <c r="G4" s="44">
        <f>M4+N4-L4</f>
        <v>38.040000000000006</v>
      </c>
      <c r="H4" s="6"/>
      <c r="I4" s="6"/>
      <c r="J4" s="6"/>
      <c r="K4" s="6"/>
      <c r="L4" s="6">
        <v>66.849999999999994</v>
      </c>
      <c r="M4" s="6">
        <f>46.64+58.25</f>
        <v>104.89</v>
      </c>
      <c r="N4" s="6"/>
      <c r="O4" s="6"/>
      <c r="P4" s="6"/>
      <c r="Q4" s="6"/>
      <c r="R4" s="6"/>
      <c r="S4" s="6"/>
    </row>
    <row r="5" spans="1:19" s="43" customFormat="1" x14ac:dyDescent="0.35">
      <c r="A5" s="46">
        <v>42768</v>
      </c>
      <c r="C5" s="43" t="s">
        <v>42</v>
      </c>
      <c r="D5" s="45">
        <f t="shared" si="0"/>
        <v>248.18400000000003</v>
      </c>
      <c r="F5" s="44">
        <v>33.35</v>
      </c>
      <c r="G5" s="44">
        <f>M5+N5-L5</f>
        <v>20.480000000000004</v>
      </c>
      <c r="H5" s="44">
        <f>R5+S5-Q5</f>
        <v>152.99</v>
      </c>
      <c r="I5" s="44"/>
      <c r="J5" s="44"/>
      <c r="K5" s="44"/>
      <c r="L5" s="44">
        <v>66.849999999999994</v>
      </c>
      <c r="M5" s="44">
        <f>29.08</f>
        <v>29.08</v>
      </c>
      <c r="N5" s="44">
        <v>58.25</v>
      </c>
      <c r="O5" s="44"/>
      <c r="P5" s="44"/>
      <c r="Q5" s="44">
        <v>72.040000000000006</v>
      </c>
      <c r="R5" s="44">
        <f>65.31+101.47</f>
        <v>166.78</v>
      </c>
      <c r="S5" s="44">
        <v>58.25</v>
      </c>
    </row>
    <row r="6" spans="1:19" s="43" customFormat="1" x14ac:dyDescent="0.35">
      <c r="A6" s="46">
        <v>42800</v>
      </c>
      <c r="C6" s="43" t="s">
        <v>212</v>
      </c>
      <c r="D6" s="45">
        <f t="shared" si="0"/>
        <v>164.93999999999997</v>
      </c>
      <c r="F6" s="44">
        <v>33.25</v>
      </c>
      <c r="G6" s="44">
        <f t="shared" ref="G6:G29" si="1">M6+N6-L6</f>
        <v>20.75</v>
      </c>
      <c r="H6" s="44">
        <f>R6+S6-Q6</f>
        <v>83.45</v>
      </c>
      <c r="I6" s="44"/>
      <c r="J6" s="44">
        <v>18</v>
      </c>
      <c r="K6" s="44"/>
      <c r="L6" s="44">
        <v>8.33</v>
      </c>
      <c r="M6" s="44">
        <v>29.08</v>
      </c>
      <c r="N6" s="44">
        <v>0</v>
      </c>
      <c r="O6" s="44"/>
      <c r="P6" s="44"/>
      <c r="Q6" s="44">
        <v>8.33</v>
      </c>
      <c r="R6" s="44">
        <f>29.08+62.7</f>
        <v>91.78</v>
      </c>
      <c r="S6" s="44"/>
    </row>
    <row r="7" spans="1:19" s="43" customFormat="1" x14ac:dyDescent="0.35">
      <c r="C7" s="43" t="s">
        <v>213</v>
      </c>
      <c r="D7" s="45">
        <f t="shared" si="0"/>
        <v>299.58</v>
      </c>
      <c r="F7" s="44">
        <v>33.25</v>
      </c>
      <c r="G7" s="44">
        <f t="shared" si="1"/>
        <v>20.75</v>
      </c>
      <c r="H7" s="44">
        <f t="shared" ref="H7:H29" si="2">R7+S7-Q7</f>
        <v>195.65</v>
      </c>
      <c r="I7" s="44"/>
      <c r="J7" s="44"/>
      <c r="K7" s="44"/>
      <c r="L7" s="44">
        <v>8.33</v>
      </c>
      <c r="M7" s="44">
        <f>29.08</f>
        <v>29.08</v>
      </c>
      <c r="N7" s="44">
        <v>0</v>
      </c>
      <c r="O7" s="44"/>
      <c r="P7" s="44"/>
      <c r="Q7" s="44">
        <v>8.33</v>
      </c>
      <c r="R7" s="44">
        <f>29.08+174.9</f>
        <v>203.98000000000002</v>
      </c>
      <c r="S7" s="44">
        <v>0</v>
      </c>
    </row>
    <row r="8" spans="1:19" x14ac:dyDescent="0.35">
      <c r="C8" t="s">
        <v>74</v>
      </c>
      <c r="D8" s="27">
        <f t="shared" si="0"/>
        <v>152.06399999999999</v>
      </c>
      <c r="F8" s="6">
        <v>33.25</v>
      </c>
      <c r="G8" s="6">
        <f t="shared" si="1"/>
        <v>20.75</v>
      </c>
      <c r="H8" s="6">
        <f t="shared" si="2"/>
        <v>72.72</v>
      </c>
      <c r="I8" s="6"/>
      <c r="J8" s="6"/>
      <c r="K8" s="6"/>
      <c r="L8" s="6">
        <v>8.33</v>
      </c>
      <c r="M8" s="6">
        <v>29.08</v>
      </c>
      <c r="N8" s="6"/>
      <c r="O8" s="6"/>
      <c r="P8" s="6"/>
      <c r="Q8" s="6">
        <v>8.33</v>
      </c>
      <c r="R8" s="6">
        <f>29.08+51.97</f>
        <v>81.05</v>
      </c>
      <c r="S8" s="6"/>
    </row>
    <row r="9" spans="1:19" s="43" customFormat="1" x14ac:dyDescent="0.35">
      <c r="C9" s="43" t="s">
        <v>87</v>
      </c>
      <c r="D9" s="45">
        <f t="shared" si="0"/>
        <v>168.50399999999999</v>
      </c>
      <c r="F9" s="44">
        <v>33.25</v>
      </c>
      <c r="G9" s="44">
        <f>M9+N9-L9</f>
        <v>70.72999999999999</v>
      </c>
      <c r="H9" s="44">
        <f>R9+S8-Q9</f>
        <v>36.44</v>
      </c>
      <c r="I9" s="44"/>
      <c r="J9" s="44"/>
      <c r="K9" s="44"/>
      <c r="L9" s="44">
        <f>8.33+21.17</f>
        <v>29.5</v>
      </c>
      <c r="M9" s="44">
        <f>29.08+31.24+39.91</f>
        <v>100.22999999999999</v>
      </c>
      <c r="N9" s="44"/>
      <c r="O9" s="44"/>
      <c r="P9" s="44"/>
      <c r="Q9" s="44">
        <v>8.33</v>
      </c>
      <c r="R9" s="44">
        <f>29.08+5.77+3.31+3.31+3.3</f>
        <v>44.769999999999996</v>
      </c>
      <c r="S9" s="44"/>
    </row>
    <row r="10" spans="1:19" s="43" customFormat="1" x14ac:dyDescent="0.35">
      <c r="C10" s="43" t="s">
        <v>83</v>
      </c>
      <c r="D10" s="45">
        <f t="shared" si="0"/>
        <v>89.7</v>
      </c>
      <c r="F10" s="44">
        <v>33.25</v>
      </c>
      <c r="G10" s="44">
        <f>M10+N10-L10</f>
        <v>20.75</v>
      </c>
      <c r="H10" s="44">
        <f>R10+S9-Q10</f>
        <v>20.75</v>
      </c>
      <c r="I10" s="44"/>
      <c r="J10" s="44"/>
      <c r="K10" s="44"/>
      <c r="L10" s="44">
        <v>8.33</v>
      </c>
      <c r="M10" s="44">
        <v>29.08</v>
      </c>
      <c r="N10" s="44"/>
      <c r="O10" s="44"/>
      <c r="P10" s="44"/>
      <c r="Q10" s="44">
        <v>8.33</v>
      </c>
      <c r="R10" s="44">
        <v>29.08</v>
      </c>
      <c r="S10" s="44"/>
    </row>
    <row r="11" spans="1:19" x14ac:dyDescent="0.35">
      <c r="C11" t="s">
        <v>89</v>
      </c>
      <c r="D11" s="27">
        <f t="shared" si="0"/>
        <v>197.60399999999998</v>
      </c>
      <c r="F11" s="6">
        <v>33.25</v>
      </c>
      <c r="G11" s="6">
        <f>M11+N11-L11</f>
        <v>21.57</v>
      </c>
      <c r="H11" s="6">
        <f>R11+S10-Q11</f>
        <v>109.85</v>
      </c>
      <c r="I11" s="6"/>
      <c r="J11" s="6"/>
      <c r="K11" s="6"/>
      <c r="L11" s="6">
        <v>8.33</v>
      </c>
      <c r="M11" s="6">
        <f>29.08+0.82</f>
        <v>29.9</v>
      </c>
      <c r="N11" s="6"/>
      <c r="O11" s="6"/>
      <c r="P11" s="6"/>
      <c r="Q11" s="6">
        <v>8.33</v>
      </c>
      <c r="R11" s="6">
        <f>29.08+89.1</f>
        <v>118.17999999999999</v>
      </c>
      <c r="S11" s="6"/>
    </row>
    <row r="12" spans="1:19" x14ac:dyDescent="0.35">
      <c r="C12" t="s">
        <v>118</v>
      </c>
      <c r="D12" s="27">
        <f t="shared" si="0"/>
        <v>149.67599999999999</v>
      </c>
      <c r="F12" s="6">
        <v>33.25</v>
      </c>
      <c r="G12" s="6">
        <f t="shared" si="1"/>
        <v>20.75</v>
      </c>
      <c r="H12" s="6">
        <f t="shared" si="2"/>
        <v>70.73</v>
      </c>
      <c r="I12" s="6"/>
      <c r="J12" s="6"/>
      <c r="K12" s="6"/>
      <c r="L12" s="6">
        <v>8.33</v>
      </c>
      <c r="M12" s="6">
        <v>29.08</v>
      </c>
      <c r="N12" s="6"/>
      <c r="O12" s="6"/>
      <c r="P12" s="6"/>
      <c r="Q12" s="6">
        <v>13.63</v>
      </c>
      <c r="R12" s="6">
        <f>29.08+21.29+33.99</f>
        <v>84.36</v>
      </c>
      <c r="S12" s="6"/>
    </row>
    <row r="13" spans="1:19" s="43" customFormat="1" x14ac:dyDescent="0.35">
      <c r="C13" s="43" t="s">
        <v>121</v>
      </c>
      <c r="D13" s="45">
        <f t="shared" si="0"/>
        <v>110.48399999999999</v>
      </c>
      <c r="F13" s="44">
        <v>33.25</v>
      </c>
      <c r="G13" s="44">
        <f t="shared" si="1"/>
        <v>20.75</v>
      </c>
      <c r="H13" s="44">
        <f>R13+S13-Q13</f>
        <v>38.07</v>
      </c>
      <c r="I13" s="44"/>
      <c r="J13" s="44"/>
      <c r="K13" s="44"/>
      <c r="L13" s="44">
        <v>8.33</v>
      </c>
      <c r="M13" s="44">
        <v>29.08</v>
      </c>
      <c r="N13" s="44"/>
      <c r="O13" s="44"/>
      <c r="P13" s="44"/>
      <c r="Q13" s="44">
        <v>8.33</v>
      </c>
      <c r="R13" s="44">
        <f>29.08+17.32</f>
        <v>46.4</v>
      </c>
      <c r="S13" s="44"/>
    </row>
    <row r="14" spans="1:19" s="43" customFormat="1" x14ac:dyDescent="0.35">
      <c r="C14" s="43" t="s">
        <v>125</v>
      </c>
      <c r="D14" s="45">
        <f t="shared" si="0"/>
        <v>205.93200000000002</v>
      </c>
      <c r="F14" s="44">
        <v>49.83</v>
      </c>
      <c r="G14" s="44">
        <f t="shared" si="1"/>
        <v>21.58</v>
      </c>
      <c r="H14" s="44">
        <f t="shared" si="2"/>
        <v>100.2</v>
      </c>
      <c r="I14" s="44"/>
      <c r="J14" s="44"/>
      <c r="K14" s="44"/>
      <c r="L14" s="44">
        <v>8.33</v>
      </c>
      <c r="M14" s="44">
        <f>29.08+0.83</f>
        <v>29.909999999999997</v>
      </c>
      <c r="N14" s="44"/>
      <c r="O14" s="44">
        <v>16.579999999999998</v>
      </c>
      <c r="P14" s="44"/>
      <c r="Q14" s="44">
        <v>8.33</v>
      </c>
      <c r="R14" s="44">
        <f>29.08+79.45</f>
        <v>108.53</v>
      </c>
      <c r="S14" s="44"/>
    </row>
    <row r="15" spans="1:19" x14ac:dyDescent="0.35">
      <c r="C15" s="43" t="s">
        <v>214</v>
      </c>
      <c r="D15" s="27">
        <f t="shared" si="0"/>
        <v>0</v>
      </c>
      <c r="F15" s="6"/>
      <c r="G15" s="6">
        <f t="shared" si="1"/>
        <v>0</v>
      </c>
      <c r="H15" s="6">
        <f t="shared" si="2"/>
        <v>0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9" x14ac:dyDescent="0.35">
      <c r="C16" t="s">
        <v>128</v>
      </c>
      <c r="D16" s="27">
        <f t="shared" si="0"/>
        <v>141.43199999999999</v>
      </c>
      <c r="F16" s="6">
        <v>33.25</v>
      </c>
      <c r="G16" s="6">
        <f t="shared" si="1"/>
        <v>37.33</v>
      </c>
      <c r="H16" s="6">
        <f t="shared" si="2"/>
        <v>47.28</v>
      </c>
      <c r="I16" s="6"/>
      <c r="J16" s="6"/>
      <c r="K16" s="6"/>
      <c r="L16" s="6">
        <v>8.33</v>
      </c>
      <c r="M16" s="6">
        <v>45.66</v>
      </c>
      <c r="N16" s="6"/>
      <c r="O16" s="6">
        <v>16.579999999999998</v>
      </c>
      <c r="P16" s="6"/>
      <c r="Q16" s="6">
        <v>8.33</v>
      </c>
      <c r="R16" s="6">
        <f>29.08+26.53</f>
        <v>55.61</v>
      </c>
      <c r="S16" s="6"/>
    </row>
    <row r="17" spans="3:19" x14ac:dyDescent="0.35">
      <c r="C17" t="s">
        <v>134</v>
      </c>
      <c r="D17" s="27">
        <f t="shared" si="0"/>
        <v>381.84</v>
      </c>
      <c r="F17" s="6">
        <v>33.25</v>
      </c>
      <c r="G17" s="6">
        <f t="shared" si="1"/>
        <v>20.75</v>
      </c>
      <c r="H17" s="6">
        <f t="shared" si="2"/>
        <v>264.2</v>
      </c>
      <c r="I17" s="6"/>
      <c r="J17" s="6"/>
      <c r="K17" s="6"/>
      <c r="L17" s="6">
        <v>8.33</v>
      </c>
      <c r="M17" s="6">
        <v>29.08</v>
      </c>
      <c r="N17" s="6"/>
      <c r="O17" s="6"/>
      <c r="P17" s="6"/>
      <c r="Q17" s="6">
        <v>8.33</v>
      </c>
      <c r="R17" s="6">
        <f>45.66+226.87</f>
        <v>272.52999999999997</v>
      </c>
      <c r="S17" s="6"/>
    </row>
    <row r="18" spans="3:19" x14ac:dyDescent="0.35">
      <c r="C18" t="s">
        <v>137</v>
      </c>
      <c r="D18" s="27">
        <f t="shared" si="0"/>
        <v>141.9</v>
      </c>
      <c r="F18" s="6">
        <v>34.24</v>
      </c>
      <c r="G18" s="6">
        <f t="shared" si="1"/>
        <v>21.35</v>
      </c>
      <c r="H18" s="6">
        <f t="shared" si="2"/>
        <v>62.660000000000011</v>
      </c>
      <c r="I18" s="6"/>
      <c r="J18" s="6"/>
      <c r="K18" s="6"/>
      <c r="L18" s="6">
        <v>8.33</v>
      </c>
      <c r="M18" s="6">
        <v>29.68</v>
      </c>
      <c r="N18" s="6"/>
      <c r="O18" s="6"/>
      <c r="P18" s="6"/>
      <c r="Q18" s="6">
        <v>8.33</v>
      </c>
      <c r="R18" s="6">
        <f>29.68+41.31</f>
        <v>70.990000000000009</v>
      </c>
      <c r="S18" s="6"/>
    </row>
    <row r="19" spans="3:19" x14ac:dyDescent="0.35">
      <c r="C19" t="s">
        <v>145</v>
      </c>
      <c r="D19" s="27">
        <f t="shared" si="0"/>
        <v>92.327999999999989</v>
      </c>
      <c r="F19" s="6">
        <v>34.24</v>
      </c>
      <c r="G19" s="6">
        <f t="shared" si="1"/>
        <v>21.35</v>
      </c>
      <c r="H19" s="6">
        <f t="shared" si="2"/>
        <v>21.35</v>
      </c>
      <c r="I19" s="6"/>
      <c r="J19" s="6"/>
      <c r="K19" s="6"/>
      <c r="L19" s="6">
        <v>8.33</v>
      </c>
      <c r="M19" s="6">
        <v>29.68</v>
      </c>
      <c r="N19" s="6"/>
      <c r="O19" s="6"/>
      <c r="P19" s="6"/>
      <c r="Q19" s="6">
        <v>8.33</v>
      </c>
      <c r="R19" s="6">
        <f>29.68</f>
        <v>29.68</v>
      </c>
      <c r="S19" s="6"/>
    </row>
    <row r="20" spans="3:19" s="43" customFormat="1" x14ac:dyDescent="0.35">
      <c r="C20" s="43" t="s">
        <v>215</v>
      </c>
      <c r="D20" s="45">
        <f t="shared" si="0"/>
        <v>271.35599999999999</v>
      </c>
      <c r="F20" s="44">
        <v>34.24</v>
      </c>
      <c r="G20" s="44">
        <f t="shared" si="1"/>
        <v>29.6</v>
      </c>
      <c r="H20" s="44">
        <f t="shared" si="2"/>
        <v>162.29</v>
      </c>
      <c r="I20" s="44"/>
      <c r="J20" s="44"/>
      <c r="K20" s="44"/>
      <c r="L20" s="44">
        <v>8.33</v>
      </c>
      <c r="M20" s="44">
        <f>29.68+8.25</f>
        <v>37.93</v>
      </c>
      <c r="N20" s="44"/>
      <c r="O20" s="44"/>
      <c r="P20" s="44"/>
      <c r="Q20" s="44">
        <v>8.33</v>
      </c>
      <c r="R20" s="44">
        <f>29.68+140.94</f>
        <v>170.62</v>
      </c>
      <c r="S20" s="44"/>
    </row>
    <row r="21" spans="3:19" x14ac:dyDescent="0.35">
      <c r="C21" t="s">
        <v>149</v>
      </c>
      <c r="D21" s="27">
        <f t="shared" si="0"/>
        <v>261.45599999999996</v>
      </c>
      <c r="F21" s="6">
        <v>34.24</v>
      </c>
      <c r="G21" s="6">
        <f t="shared" si="1"/>
        <v>21.35</v>
      </c>
      <c r="H21" s="6">
        <f t="shared" si="2"/>
        <v>162.29</v>
      </c>
      <c r="I21" s="6"/>
      <c r="J21" s="6"/>
      <c r="K21" s="6"/>
      <c r="L21" s="6">
        <v>8.33</v>
      </c>
      <c r="M21" s="6">
        <v>29.68</v>
      </c>
      <c r="N21" s="6"/>
      <c r="O21" s="6"/>
      <c r="P21" s="6"/>
      <c r="Q21" s="6">
        <v>8.33</v>
      </c>
      <c r="R21" s="6">
        <f>29.68+140.94</f>
        <v>170.62</v>
      </c>
      <c r="S21" s="6"/>
    </row>
    <row r="22" spans="3:19" x14ac:dyDescent="0.35">
      <c r="C22" t="s">
        <v>216</v>
      </c>
      <c r="D22" s="27">
        <f t="shared" si="0"/>
        <v>0</v>
      </c>
      <c r="F22" s="6"/>
      <c r="G22" s="6">
        <f t="shared" si="1"/>
        <v>0</v>
      </c>
      <c r="H22" s="6">
        <f t="shared" si="2"/>
        <v>0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3:19" x14ac:dyDescent="0.35">
      <c r="C23" t="s">
        <v>150</v>
      </c>
      <c r="D23" s="27">
        <f t="shared" si="0"/>
        <v>182.41199999999998</v>
      </c>
      <c r="E23">
        <v>0</v>
      </c>
      <c r="F23" s="6">
        <v>34.24</v>
      </c>
      <c r="G23" s="6">
        <f t="shared" ref="G23" si="3">M23+N23-L23</f>
        <v>29.6</v>
      </c>
      <c r="H23" s="6">
        <f t="shared" ref="H23" si="4">R23+S23-Q23</f>
        <v>88.17</v>
      </c>
      <c r="I23" s="6"/>
      <c r="J23" s="6">
        <f>SUM(F23:H23)</f>
        <v>152.01</v>
      </c>
      <c r="K23" s="6"/>
      <c r="L23" s="6">
        <v>8.33</v>
      </c>
      <c r="M23" s="6">
        <f>29.68+8.25</f>
        <v>37.93</v>
      </c>
      <c r="N23" s="6"/>
      <c r="O23" s="6"/>
      <c r="P23" s="6"/>
      <c r="Q23" s="6">
        <v>8.33</v>
      </c>
      <c r="R23" s="6">
        <f>29.68+66.82</f>
        <v>96.5</v>
      </c>
      <c r="S23" s="6"/>
    </row>
    <row r="24" spans="3:19" x14ac:dyDescent="0.35">
      <c r="C24" t="s">
        <v>196</v>
      </c>
      <c r="D24" s="27">
        <f t="shared" si="0"/>
        <v>161.63999999999999</v>
      </c>
      <c r="F24" s="6">
        <v>34.24</v>
      </c>
      <c r="G24" s="6">
        <f t="shared" si="1"/>
        <v>24.660000000000004</v>
      </c>
      <c r="H24" s="6">
        <f t="shared" si="2"/>
        <v>75.8</v>
      </c>
      <c r="I24" s="6"/>
      <c r="J24" s="6"/>
      <c r="K24" s="6"/>
      <c r="L24" s="6">
        <v>8.33</v>
      </c>
      <c r="M24" s="6">
        <f>3.31+29.68</f>
        <v>32.99</v>
      </c>
      <c r="N24" s="6"/>
      <c r="O24" s="6"/>
      <c r="P24" s="6"/>
      <c r="Q24" s="6">
        <v>8.33</v>
      </c>
      <c r="R24" s="6">
        <f>29.68+54.45</f>
        <v>84.13</v>
      </c>
      <c r="S24" s="6"/>
    </row>
    <row r="25" spans="3:19" s="43" customFormat="1" x14ac:dyDescent="0.35">
      <c r="C25" s="43" t="s">
        <v>217</v>
      </c>
      <c r="D25" s="45">
        <f t="shared" si="0"/>
        <v>235.87199999999999</v>
      </c>
      <c r="F25" s="44">
        <v>34.24</v>
      </c>
      <c r="G25" s="44">
        <f t="shared" si="1"/>
        <v>21.35</v>
      </c>
      <c r="H25" s="44">
        <f t="shared" si="2"/>
        <v>140.97</v>
      </c>
      <c r="I25" s="44"/>
      <c r="J25" s="44"/>
      <c r="K25" s="44"/>
      <c r="L25" s="44">
        <v>8.33</v>
      </c>
      <c r="M25" s="44">
        <v>29.68</v>
      </c>
      <c r="N25" s="44"/>
      <c r="O25" s="44"/>
      <c r="P25" s="44"/>
      <c r="Q25" s="44">
        <v>8.33</v>
      </c>
      <c r="R25" s="44">
        <f>29.68+119.62</f>
        <v>149.30000000000001</v>
      </c>
      <c r="S25" s="44"/>
    </row>
    <row r="26" spans="3:19" s="43" customFormat="1" x14ac:dyDescent="0.35">
      <c r="C26" s="43" t="s">
        <v>218</v>
      </c>
      <c r="D26" s="45">
        <f t="shared" si="0"/>
        <v>0</v>
      </c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</row>
    <row r="27" spans="3:19" s="43" customFormat="1" x14ac:dyDescent="0.35">
      <c r="C27" s="43" t="s">
        <v>197</v>
      </c>
      <c r="D27" s="45">
        <f t="shared" si="0"/>
        <v>225.14400000000001</v>
      </c>
      <c r="E27" s="43">
        <v>0</v>
      </c>
      <c r="F27" s="44">
        <v>-6.84</v>
      </c>
      <c r="G27" s="44">
        <f t="shared" si="1"/>
        <v>31.590000000000003</v>
      </c>
      <c r="H27" s="44">
        <f t="shared" si="2"/>
        <v>162.87</v>
      </c>
      <c r="I27" s="44"/>
      <c r="J27" s="44"/>
      <c r="K27" s="44"/>
      <c r="L27" s="44">
        <v>8.33</v>
      </c>
      <c r="M27" s="44">
        <v>39.92</v>
      </c>
      <c r="N27" s="44"/>
      <c r="O27" s="44"/>
      <c r="P27" s="44"/>
      <c r="Q27" s="44">
        <v>8.33</v>
      </c>
      <c r="R27" s="44">
        <f>29.68+141.52</f>
        <v>171.20000000000002</v>
      </c>
      <c r="S27" s="44"/>
    </row>
    <row r="28" spans="3:19" x14ac:dyDescent="0.35">
      <c r="C28" t="s">
        <v>198</v>
      </c>
      <c r="D28" s="27">
        <f>(F28+G28+H28)*1.2+E28-0.01</f>
        <v>173.40199999999999</v>
      </c>
      <c r="F28" s="6">
        <v>8.25</v>
      </c>
      <c r="G28" s="6">
        <f t="shared" si="1"/>
        <v>31.590000000000003</v>
      </c>
      <c r="H28" s="6">
        <f t="shared" si="2"/>
        <v>104.67</v>
      </c>
      <c r="I28" s="6"/>
      <c r="J28" s="6"/>
      <c r="K28" s="6"/>
      <c r="L28" s="6">
        <v>8.33</v>
      </c>
      <c r="M28" s="6">
        <v>39.92</v>
      </c>
      <c r="N28" s="6"/>
      <c r="O28" s="6"/>
      <c r="P28" s="6"/>
      <c r="Q28" s="6">
        <v>8.33</v>
      </c>
      <c r="R28" s="6">
        <f>29.68+83.32</f>
        <v>113</v>
      </c>
      <c r="S28" s="6"/>
    </row>
    <row r="29" spans="3:19" s="43" customFormat="1" x14ac:dyDescent="0.35">
      <c r="C29" s="43" t="s">
        <v>199</v>
      </c>
      <c r="D29" s="45">
        <f>(F29+G29+H29)*1.2+E29-0.01</f>
        <v>85.222000000000008</v>
      </c>
      <c r="E29" s="43">
        <v>2.9</v>
      </c>
      <c r="F29" s="44">
        <v>8.25</v>
      </c>
      <c r="G29" s="44">
        <f t="shared" si="1"/>
        <v>31.590000000000003</v>
      </c>
      <c r="H29" s="44">
        <f t="shared" si="2"/>
        <v>28.770000000000003</v>
      </c>
      <c r="I29" s="44"/>
      <c r="J29" s="44"/>
      <c r="K29" s="44"/>
      <c r="L29" s="44">
        <v>8.33</v>
      </c>
      <c r="M29" s="44">
        <v>39.92</v>
      </c>
      <c r="N29" s="44"/>
      <c r="O29" s="44"/>
      <c r="P29" s="44"/>
      <c r="Q29" s="44">
        <v>8.33</v>
      </c>
      <c r="R29" s="44">
        <f>29.68+7.42</f>
        <v>37.1</v>
      </c>
      <c r="S29" s="44"/>
    </row>
    <row r="30" spans="3:19" s="43" customFormat="1" x14ac:dyDescent="0.35">
      <c r="C30" s="43" t="s">
        <v>200</v>
      </c>
      <c r="D30" s="45">
        <f>(F30+G30+H30)*1.2+E30-0.01</f>
        <v>228.89800000000002</v>
      </c>
      <c r="E30" s="43">
        <v>2.9</v>
      </c>
      <c r="F30" s="44">
        <v>52.47</v>
      </c>
      <c r="G30" s="44">
        <f t="shared" ref="G30:G33" si="5">M30+N30-L30</f>
        <v>31.590000000000003</v>
      </c>
      <c r="H30" s="44">
        <f t="shared" ref="H30" si="6">R30+S30-Q30</f>
        <v>104.28</v>
      </c>
      <c r="I30" s="44"/>
      <c r="J30" s="44"/>
      <c r="K30" s="44"/>
      <c r="L30" s="44">
        <v>8.33</v>
      </c>
      <c r="M30" s="44">
        <v>39.92</v>
      </c>
      <c r="N30" s="44"/>
      <c r="O30" s="44"/>
      <c r="P30" s="44"/>
      <c r="Q30" s="44">
        <v>8.33</v>
      </c>
      <c r="R30" s="44">
        <f>29.68+16.93+66</f>
        <v>112.61</v>
      </c>
      <c r="S30" s="44"/>
    </row>
    <row r="31" spans="3:19" s="43" customFormat="1" x14ac:dyDescent="0.35">
      <c r="C31" s="43" t="s">
        <v>201</v>
      </c>
      <c r="D31" s="45">
        <f>(F31+G31+H31)*1.2+E31-0.01</f>
        <v>223.71400000000003</v>
      </c>
      <c r="E31" s="43">
        <v>2.9</v>
      </c>
      <c r="F31" s="44">
        <v>37.42</v>
      </c>
      <c r="G31" s="44">
        <f t="shared" si="5"/>
        <v>31.590000000000003</v>
      </c>
      <c r="H31" s="44">
        <f>R31+S31-Q31</f>
        <v>115.01</v>
      </c>
      <c r="I31" s="44"/>
      <c r="J31" s="44"/>
      <c r="K31" s="44"/>
      <c r="L31" s="44">
        <v>8.33</v>
      </c>
      <c r="M31" s="44">
        <v>39.92</v>
      </c>
      <c r="N31" s="44"/>
      <c r="O31" s="44"/>
      <c r="P31" s="44"/>
      <c r="Q31" s="44">
        <v>8.33</v>
      </c>
      <c r="R31" s="43">
        <f>29.68+93.66</f>
        <v>123.34</v>
      </c>
      <c r="S31" s="44"/>
    </row>
    <row r="32" spans="3:19" s="43" customFormat="1" x14ac:dyDescent="0.35">
      <c r="C32" s="43" t="s">
        <v>202</v>
      </c>
      <c r="D32" s="45">
        <f t="shared" si="0"/>
        <v>113.91200000000001</v>
      </c>
      <c r="E32" s="43">
        <v>2.9</v>
      </c>
      <c r="F32" s="44">
        <v>38.17</v>
      </c>
      <c r="G32" s="44">
        <f t="shared" si="5"/>
        <v>32.39</v>
      </c>
      <c r="H32" s="44">
        <f>R32+S32-Q32</f>
        <v>21.950000000000003</v>
      </c>
      <c r="I32" s="44"/>
      <c r="J32" s="44"/>
      <c r="K32" s="44"/>
      <c r="L32" s="44">
        <v>8.33</v>
      </c>
      <c r="M32" s="44">
        <v>40.72</v>
      </c>
      <c r="N32" s="44"/>
      <c r="O32" s="44"/>
      <c r="P32" s="44"/>
      <c r="Q32" s="44">
        <v>8.33</v>
      </c>
      <c r="R32" s="43">
        <f>30.28+0</f>
        <v>30.28</v>
      </c>
      <c r="S32" s="44"/>
    </row>
    <row r="33" spans="3:19" s="43" customFormat="1" x14ac:dyDescent="0.35">
      <c r="C33" s="43" t="s">
        <v>203</v>
      </c>
      <c r="D33" s="45">
        <f t="shared" si="0"/>
        <v>445.55599999999998</v>
      </c>
      <c r="E33" s="43">
        <v>2.9</v>
      </c>
      <c r="F33" s="44">
        <v>38.17</v>
      </c>
      <c r="G33" s="44">
        <f t="shared" si="5"/>
        <v>32.39</v>
      </c>
      <c r="H33" s="44">
        <f>R33+S33-Q33</f>
        <v>298.32</v>
      </c>
      <c r="I33" s="44"/>
      <c r="J33" s="44"/>
      <c r="K33" s="44"/>
      <c r="L33" s="44">
        <v>8.33</v>
      </c>
      <c r="M33" s="44">
        <v>40.72</v>
      </c>
      <c r="N33" s="44"/>
      <c r="O33" s="44"/>
      <c r="P33" s="44"/>
      <c r="Q33" s="44">
        <v>8.33</v>
      </c>
      <c r="R33" s="44">
        <f>30.28+276.37</f>
        <v>306.64999999999998</v>
      </c>
      <c r="S33" s="44"/>
    </row>
    <row r="34" spans="3:19" s="43" customFormat="1" x14ac:dyDescent="0.35">
      <c r="C34" s="43" t="s">
        <v>204</v>
      </c>
      <c r="D34" s="45">
        <f t="shared" si="0"/>
        <v>290.28799999999995</v>
      </c>
      <c r="E34" s="43">
        <v>2.9</v>
      </c>
      <c r="F34" s="44">
        <v>38.17</v>
      </c>
      <c r="G34" s="44">
        <f t="shared" ref="G34:G38" si="7">M34+N34-L34</f>
        <v>32.39</v>
      </c>
      <c r="H34" s="44">
        <f t="shared" ref="H34:H38" si="8">R34+S34-Q34</f>
        <v>168.92999999999998</v>
      </c>
      <c r="L34" s="44">
        <v>8.33</v>
      </c>
      <c r="M34" s="44">
        <v>40.72</v>
      </c>
      <c r="Q34" s="44">
        <v>8.33</v>
      </c>
      <c r="R34" s="44">
        <f>30.28+146.98</f>
        <v>177.26</v>
      </c>
    </row>
    <row r="35" spans="3:19" s="43" customFormat="1" x14ac:dyDescent="0.35">
      <c r="C35" s="43" t="s">
        <v>205</v>
      </c>
      <c r="D35" s="45">
        <f>(F35+G35+H35)*1.2+E35</f>
        <v>182.816</v>
      </c>
      <c r="E35" s="43">
        <v>2.9</v>
      </c>
      <c r="F35" s="44">
        <v>38.17</v>
      </c>
      <c r="G35" s="44">
        <f t="shared" si="7"/>
        <v>32.39</v>
      </c>
      <c r="H35" s="44">
        <f t="shared" si="8"/>
        <v>79.37</v>
      </c>
      <c r="L35" s="44">
        <v>8.33</v>
      </c>
      <c r="M35" s="44">
        <f>40.72</f>
        <v>40.72</v>
      </c>
      <c r="Q35" s="44">
        <v>8.33</v>
      </c>
      <c r="R35" s="44">
        <f>30.28+57.42</f>
        <v>87.7</v>
      </c>
    </row>
    <row r="36" spans="3:19" s="43" customFormat="1" x14ac:dyDescent="0.35">
      <c r="C36" s="43" t="s">
        <v>206</v>
      </c>
      <c r="D36" s="45">
        <f t="shared" ref="D36:D52" si="9">(F36+G36+H36)*1.2+E36</f>
        <v>305.13599999999997</v>
      </c>
      <c r="E36" s="43">
        <v>14.7</v>
      </c>
      <c r="F36" s="44">
        <v>38.17</v>
      </c>
      <c r="G36" s="44">
        <f t="shared" si="7"/>
        <v>59.81</v>
      </c>
      <c r="H36" s="44">
        <f t="shared" si="8"/>
        <v>144.04999999999998</v>
      </c>
      <c r="L36" s="44">
        <v>8.33</v>
      </c>
      <c r="M36" s="43">
        <f>40.72+27.42</f>
        <v>68.14</v>
      </c>
      <c r="Q36" s="44">
        <v>8.33</v>
      </c>
      <c r="R36" s="44">
        <f>30.28+122.1</f>
        <v>152.38</v>
      </c>
    </row>
    <row r="37" spans="3:19" s="43" customFormat="1" x14ac:dyDescent="0.35">
      <c r="C37" s="43" t="s">
        <v>207</v>
      </c>
      <c r="D37" s="45">
        <f t="shared" si="9"/>
        <v>126.73599999999999</v>
      </c>
      <c r="E37" s="43">
        <v>8.8000000000000007</v>
      </c>
      <c r="F37" s="44">
        <v>38.17</v>
      </c>
      <c r="G37" s="44">
        <f t="shared" si="7"/>
        <v>32.39</v>
      </c>
      <c r="H37" s="44">
        <f t="shared" si="8"/>
        <v>27.72</v>
      </c>
      <c r="L37" s="44">
        <v>8.33</v>
      </c>
      <c r="M37" s="43">
        <v>40.72</v>
      </c>
      <c r="Q37" s="44">
        <v>8.33</v>
      </c>
      <c r="R37" s="44">
        <f>30.28+5.77</f>
        <v>36.049999999999997</v>
      </c>
    </row>
    <row r="38" spans="3:19" s="43" customFormat="1" x14ac:dyDescent="0.35">
      <c r="C38" s="43" t="s">
        <v>208</v>
      </c>
      <c r="D38" s="45">
        <f t="shared" si="9"/>
        <v>261.14799999999997</v>
      </c>
      <c r="E38" s="43">
        <v>8.8000000000000007</v>
      </c>
      <c r="F38" s="44">
        <v>38.17</v>
      </c>
      <c r="G38" s="44">
        <f t="shared" si="7"/>
        <v>32.39</v>
      </c>
      <c r="H38" s="44">
        <f t="shared" si="8"/>
        <v>139.72999999999999</v>
      </c>
      <c r="L38" s="44">
        <v>8.33</v>
      </c>
      <c r="M38" s="43">
        <v>40.72</v>
      </c>
      <c r="Q38" s="44">
        <v>8.33</v>
      </c>
      <c r="R38" s="44">
        <f>30.28+117.78</f>
        <v>148.06</v>
      </c>
    </row>
    <row r="39" spans="3:19" x14ac:dyDescent="0.35">
      <c r="C39" t="s">
        <v>209</v>
      </c>
      <c r="D39" s="27">
        <f t="shared" si="9"/>
        <v>0</v>
      </c>
      <c r="Q39" s="6">
        <v>8.33</v>
      </c>
    </row>
    <row r="40" spans="3:19" x14ac:dyDescent="0.35">
      <c r="C40" t="s">
        <v>210</v>
      </c>
      <c r="D40" s="27">
        <f t="shared" si="9"/>
        <v>0</v>
      </c>
    </row>
    <row r="41" spans="3:19" x14ac:dyDescent="0.35">
      <c r="D41" s="27">
        <f t="shared" si="9"/>
        <v>0</v>
      </c>
    </row>
    <row r="42" spans="3:19" x14ac:dyDescent="0.35">
      <c r="D42" s="27">
        <f t="shared" si="9"/>
        <v>0</v>
      </c>
    </row>
    <row r="43" spans="3:19" x14ac:dyDescent="0.35">
      <c r="D43" s="27">
        <f t="shared" si="9"/>
        <v>0</v>
      </c>
    </row>
    <row r="44" spans="3:19" x14ac:dyDescent="0.35">
      <c r="D44" s="27">
        <f t="shared" si="9"/>
        <v>0</v>
      </c>
    </row>
    <row r="45" spans="3:19" x14ac:dyDescent="0.35">
      <c r="D45" s="27">
        <f t="shared" si="9"/>
        <v>0</v>
      </c>
    </row>
    <row r="46" spans="3:19" x14ac:dyDescent="0.35">
      <c r="D46" s="27">
        <f t="shared" si="9"/>
        <v>0</v>
      </c>
    </row>
    <row r="47" spans="3:19" x14ac:dyDescent="0.35">
      <c r="D47" s="27">
        <f t="shared" si="9"/>
        <v>0</v>
      </c>
    </row>
    <row r="48" spans="3:19" x14ac:dyDescent="0.35">
      <c r="D48" s="27">
        <f t="shared" si="9"/>
        <v>0</v>
      </c>
    </row>
    <row r="49" spans="4:4" x14ac:dyDescent="0.35">
      <c r="D49" s="27">
        <f t="shared" si="9"/>
        <v>0</v>
      </c>
    </row>
    <row r="50" spans="4:4" x14ac:dyDescent="0.35">
      <c r="D50" s="27">
        <f t="shared" si="9"/>
        <v>0</v>
      </c>
    </row>
    <row r="51" spans="4:4" x14ac:dyDescent="0.35">
      <c r="D51" s="27">
        <f t="shared" si="9"/>
        <v>0</v>
      </c>
    </row>
    <row r="52" spans="4:4" x14ac:dyDescent="0.35">
      <c r="D52" s="27">
        <f t="shared" si="9"/>
        <v>0</v>
      </c>
    </row>
  </sheetData>
  <mergeCells count="2">
    <mergeCell ref="L1:N1"/>
    <mergeCell ref="Q1:S1"/>
  </mergeCells>
  <phoneticPr fontId="2" type="noConversion"/>
  <pageMargins left="0.7" right="0.7" top="0.78740157499999996" bottom="0.78740157499999996" header="0.3" footer="0.3"/>
  <pageSetup paperSize="9"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Haussanierung 17</vt:lpstr>
      <vt:lpstr>Haussanierung 18...</vt:lpstr>
      <vt:lpstr>Gemeindeabgaben</vt:lpstr>
      <vt:lpstr>Strom </vt:lpstr>
      <vt:lpstr>Öl Heizung</vt:lpstr>
      <vt:lpstr>Diverses</vt:lpstr>
      <vt:lpstr> A1 &amp; ORF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Thoenen</dc:creator>
  <cp:lastModifiedBy>Hans Thoenen</cp:lastModifiedBy>
  <dcterms:created xsi:type="dcterms:W3CDTF">2017-10-23T12:21:42Z</dcterms:created>
  <dcterms:modified xsi:type="dcterms:W3CDTF">2019-11-21T20:04:24Z</dcterms:modified>
</cp:coreProperties>
</file>